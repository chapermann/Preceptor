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 activeTab="10"/>
  </bookViews>
  <sheets>
    <sheet name="Noradrenalina" sheetId="1" r:id="rId1"/>
    <sheet name="Nipride" sheetId="2" r:id="rId2"/>
    <sheet name="Midazolam" sheetId="3" r:id="rId3"/>
    <sheet name="Midazolam - PURO" sheetId="5" r:id="rId4"/>
    <sheet name="Fentanil" sheetId="4" r:id="rId5"/>
    <sheet name="DOBUTAMINA" sheetId="6" r:id="rId6"/>
    <sheet name="PRECEDEX" sheetId="8" r:id="rId7"/>
    <sheet name="PROPOFOL" sheetId="7" r:id="rId8"/>
    <sheet name="ESMOLOL" sheetId="9" r:id="rId9"/>
    <sheet name="VASOPRESSINA" sheetId="10" r:id="rId10"/>
    <sheet name="ÁTRACÚRIO" sheetId="11" r:id="rId11"/>
    <sheet name="ROCURÔNIO" sheetId="12" r:id="rId12"/>
  </sheets>
  <definedNames>
    <definedName name="_xlnm.Print_Area" localSheetId="5">DOBUTAMINA!$A$1:$M$93</definedName>
    <definedName name="_xlnm.Print_Area" localSheetId="4">Fentanil!$A$1:$AF$21</definedName>
    <definedName name="_xlnm.Print_Area" localSheetId="2">Midazolam!$A$1:$W$23</definedName>
    <definedName name="_xlnm.Print_Area" localSheetId="3">'Midazolam - PURO'!$A$1:$W$21</definedName>
    <definedName name="_xlnm.Print_Area" localSheetId="1">Nipride!$A$1:$AB$21</definedName>
    <definedName name="_xlnm.Print_Area" localSheetId="0">Noradrenalina!$A$1:$Z$19</definedName>
    <definedName name="_xlnm.Print_Area" localSheetId="6">PRECEDEX!$A$1:$Q$24</definedName>
    <definedName name="_xlnm.Print_Area" localSheetId="7">PROPOFOL!$A$1:$S$41</definedName>
    <definedName name="_xlnm.Print_Area" localSheetId="9">VASOPRESSINA!$A$1:$Z$23</definedName>
  </definedNames>
  <calcPr calcId="124519"/>
</workbook>
</file>

<file path=xl/calcChain.xml><?xml version="1.0" encoding="utf-8"?>
<calcChain xmlns="http://schemas.openxmlformats.org/spreadsheetml/2006/main">
  <c r="C13" i="10"/>
  <c r="D13"/>
  <c r="E13"/>
  <c r="F13"/>
  <c r="F10"/>
  <c r="R33" i="9"/>
  <c r="S33"/>
  <c r="T33"/>
  <c r="U33"/>
  <c r="V33"/>
  <c r="W33"/>
  <c r="X33"/>
  <c r="Y33"/>
  <c r="Z33"/>
  <c r="AA33"/>
  <c r="R34"/>
  <c r="S34"/>
  <c r="T34"/>
  <c r="U34"/>
  <c r="V34"/>
  <c r="W34"/>
  <c r="X34"/>
  <c r="Y34"/>
  <c r="Z34"/>
  <c r="AA34"/>
  <c r="R35"/>
  <c r="S35"/>
  <c r="T35"/>
  <c r="U35"/>
  <c r="V35"/>
  <c r="W35"/>
  <c r="X35"/>
  <c r="Y35"/>
  <c r="Z35"/>
  <c r="AA35"/>
  <c r="R36"/>
  <c r="S36"/>
  <c r="T36"/>
  <c r="U36"/>
  <c r="V36"/>
  <c r="W36"/>
  <c r="X36"/>
  <c r="Y36"/>
  <c r="Z36"/>
  <c r="AA36"/>
  <c r="R37"/>
  <c r="S37"/>
  <c r="T37"/>
  <c r="U37"/>
  <c r="V37"/>
  <c r="W37"/>
  <c r="X37"/>
  <c r="Y37"/>
  <c r="Z37"/>
  <c r="AA37"/>
  <c r="R38"/>
  <c r="S38"/>
  <c r="T38"/>
  <c r="U38"/>
  <c r="V38"/>
  <c r="W38"/>
  <c r="X38"/>
  <c r="Y38"/>
  <c r="Z38"/>
  <c r="AA38"/>
  <c r="R39"/>
  <c r="S39"/>
  <c r="T39"/>
  <c r="U39"/>
  <c r="V39"/>
  <c r="W39"/>
  <c r="X39"/>
  <c r="Y39"/>
  <c r="Z39"/>
  <c r="AA39"/>
  <c r="R40"/>
  <c r="S40"/>
  <c r="T40"/>
  <c r="U40"/>
  <c r="V40"/>
  <c r="W40"/>
  <c r="X40"/>
  <c r="Y40"/>
  <c r="Z40"/>
  <c r="AA40"/>
  <c r="R41"/>
  <c r="S41"/>
  <c r="T41"/>
  <c r="U41"/>
  <c r="V41"/>
  <c r="W41"/>
  <c r="X41"/>
  <c r="Y41"/>
  <c r="Z41"/>
  <c r="AA41"/>
  <c r="R42"/>
  <c r="S42"/>
  <c r="T42"/>
  <c r="U42"/>
  <c r="V42"/>
  <c r="W42"/>
  <c r="X42"/>
  <c r="Y42"/>
  <c r="Z42"/>
  <c r="AA42"/>
  <c r="R43"/>
  <c r="S43"/>
  <c r="T43"/>
  <c r="U43"/>
  <c r="V43"/>
  <c r="W43"/>
  <c r="X43"/>
  <c r="Y43"/>
  <c r="Z43"/>
  <c r="AA43"/>
  <c r="R44"/>
  <c r="S44"/>
  <c r="T44"/>
  <c r="U44"/>
  <c r="V44"/>
  <c r="W44"/>
  <c r="X44"/>
  <c r="Y44"/>
  <c r="Z44"/>
  <c r="AA44"/>
  <c r="R45"/>
  <c r="S45"/>
  <c r="T45"/>
  <c r="U45"/>
  <c r="V45"/>
  <c r="W45"/>
  <c r="X45"/>
  <c r="Y45"/>
  <c r="Z45"/>
  <c r="AA45"/>
  <c r="R46"/>
  <c r="S46"/>
  <c r="T46"/>
  <c r="U46"/>
  <c r="V46"/>
  <c r="W46"/>
  <c r="X46"/>
  <c r="Y46"/>
  <c r="Z46"/>
  <c r="AA46"/>
  <c r="R47"/>
  <c r="S47"/>
  <c r="T47"/>
  <c r="U47"/>
  <c r="V47"/>
  <c r="W47"/>
  <c r="X47"/>
  <c r="Y47"/>
  <c r="Z47"/>
  <c r="AA47"/>
  <c r="M33"/>
  <c r="N33"/>
  <c r="O33"/>
  <c r="P33"/>
  <c r="Q33"/>
  <c r="M34"/>
  <c r="N34"/>
  <c r="O34"/>
  <c r="P34"/>
  <c r="Q34"/>
  <c r="M35"/>
  <c r="N35"/>
  <c r="O35"/>
  <c r="P35"/>
  <c r="Q35"/>
  <c r="M36"/>
  <c r="N36"/>
  <c r="O36"/>
  <c r="P36"/>
  <c r="Q36"/>
  <c r="M37"/>
  <c r="N37"/>
  <c r="O37"/>
  <c r="P37"/>
  <c r="Q37"/>
  <c r="M38"/>
  <c r="N38"/>
  <c r="O38"/>
  <c r="P38"/>
  <c r="Q38"/>
  <c r="M39"/>
  <c r="N39"/>
  <c r="O39"/>
  <c r="P39"/>
  <c r="Q39"/>
  <c r="M40"/>
  <c r="N40"/>
  <c r="O40"/>
  <c r="P40"/>
  <c r="Q40"/>
  <c r="M41"/>
  <c r="N41"/>
  <c r="O41"/>
  <c r="P41"/>
  <c r="Q41"/>
  <c r="M42"/>
  <c r="N42"/>
  <c r="O42"/>
  <c r="P42"/>
  <c r="Q42"/>
  <c r="M43"/>
  <c r="N43"/>
  <c r="O43"/>
  <c r="P43"/>
  <c r="Q43"/>
  <c r="M44"/>
  <c r="N44"/>
  <c r="O44"/>
  <c r="P44"/>
  <c r="Q44"/>
  <c r="M45"/>
  <c r="N45"/>
  <c r="O45"/>
  <c r="P45"/>
  <c r="Q45"/>
  <c r="M46"/>
  <c r="N46"/>
  <c r="O46"/>
  <c r="P46"/>
  <c r="Q46"/>
  <c r="M47"/>
  <c r="N47"/>
  <c r="O47"/>
  <c r="P47"/>
  <c r="Q47"/>
  <c r="L34"/>
  <c r="L35"/>
  <c r="L36"/>
  <c r="L37"/>
  <c r="L38"/>
  <c r="L39"/>
  <c r="L40"/>
  <c r="L41"/>
  <c r="L42"/>
  <c r="L43"/>
  <c r="L44"/>
  <c r="L45"/>
  <c r="L46"/>
  <c r="L47"/>
  <c r="L33"/>
  <c r="N13"/>
  <c r="O13"/>
  <c r="P13"/>
  <c r="Q13"/>
  <c r="R13"/>
  <c r="S13"/>
  <c r="T13"/>
  <c r="U13"/>
  <c r="V13"/>
  <c r="W13"/>
  <c r="X13"/>
  <c r="Y13"/>
  <c r="Z13"/>
  <c r="AA13"/>
  <c r="N14"/>
  <c r="O14"/>
  <c r="P14"/>
  <c r="Q14"/>
  <c r="R14"/>
  <c r="S14"/>
  <c r="T14"/>
  <c r="U14"/>
  <c r="V14"/>
  <c r="W14"/>
  <c r="X14"/>
  <c r="Y14"/>
  <c r="Z14"/>
  <c r="AA14"/>
  <c r="N15"/>
  <c r="O15"/>
  <c r="P15"/>
  <c r="Q15"/>
  <c r="R15"/>
  <c r="S15"/>
  <c r="T15"/>
  <c r="U15"/>
  <c r="V15"/>
  <c r="W15"/>
  <c r="X15"/>
  <c r="Y15"/>
  <c r="Z15"/>
  <c r="AA15"/>
  <c r="N16"/>
  <c r="O16"/>
  <c r="P16"/>
  <c r="Q16"/>
  <c r="R16"/>
  <c r="S16"/>
  <c r="T16"/>
  <c r="U16"/>
  <c r="V16"/>
  <c r="W16"/>
  <c r="X16"/>
  <c r="Y16"/>
  <c r="Z16"/>
  <c r="AA16"/>
  <c r="N17"/>
  <c r="O17"/>
  <c r="P17"/>
  <c r="Q17"/>
  <c r="R17"/>
  <c r="S17"/>
  <c r="T17"/>
  <c r="U17"/>
  <c r="V17"/>
  <c r="W17"/>
  <c r="X17"/>
  <c r="Y17"/>
  <c r="Z17"/>
  <c r="AA17"/>
  <c r="N18"/>
  <c r="O18"/>
  <c r="P18"/>
  <c r="Q18"/>
  <c r="R18"/>
  <c r="S18"/>
  <c r="T18"/>
  <c r="U18"/>
  <c r="V18"/>
  <c r="W18"/>
  <c r="X18"/>
  <c r="Y18"/>
  <c r="Z18"/>
  <c r="AA18"/>
  <c r="N19"/>
  <c r="O19"/>
  <c r="P19"/>
  <c r="Q19"/>
  <c r="R19"/>
  <c r="S19"/>
  <c r="T19"/>
  <c r="U19"/>
  <c r="V19"/>
  <c r="W19"/>
  <c r="X19"/>
  <c r="Y19"/>
  <c r="Z19"/>
  <c r="AA19"/>
  <c r="N20"/>
  <c r="O20"/>
  <c r="P20"/>
  <c r="Q20"/>
  <c r="R20"/>
  <c r="S20"/>
  <c r="T20"/>
  <c r="U20"/>
  <c r="V20"/>
  <c r="W20"/>
  <c r="X20"/>
  <c r="Y20"/>
  <c r="Z20"/>
  <c r="AA20"/>
  <c r="N21"/>
  <c r="O21"/>
  <c r="P21"/>
  <c r="Q21"/>
  <c r="R21"/>
  <c r="S21"/>
  <c r="T21"/>
  <c r="U21"/>
  <c r="V21"/>
  <c r="W21"/>
  <c r="X21"/>
  <c r="Y21"/>
  <c r="Z21"/>
  <c r="AA21"/>
  <c r="N22"/>
  <c r="O22"/>
  <c r="P22"/>
  <c r="Q22"/>
  <c r="R22"/>
  <c r="S22"/>
  <c r="T22"/>
  <c r="U22"/>
  <c r="V22"/>
  <c r="W22"/>
  <c r="X22"/>
  <c r="Y22"/>
  <c r="Z22"/>
  <c r="AA22"/>
  <c r="N23"/>
  <c r="O23"/>
  <c r="P23"/>
  <c r="Q23"/>
  <c r="R23"/>
  <c r="S23"/>
  <c r="T23"/>
  <c r="U23"/>
  <c r="V23"/>
  <c r="W23"/>
  <c r="X23"/>
  <c r="Y23"/>
  <c r="Z23"/>
  <c r="AA23"/>
  <c r="N24"/>
  <c r="O24"/>
  <c r="P24"/>
  <c r="Q24"/>
  <c r="R24"/>
  <c r="S24"/>
  <c r="T24"/>
  <c r="U24"/>
  <c r="V24"/>
  <c r="W24"/>
  <c r="X24"/>
  <c r="Y24"/>
  <c r="Z24"/>
  <c r="AA24"/>
  <c r="N25"/>
  <c r="O25"/>
  <c r="P25"/>
  <c r="Q25"/>
  <c r="R25"/>
  <c r="S25"/>
  <c r="T25"/>
  <c r="U25"/>
  <c r="V25"/>
  <c r="W25"/>
  <c r="X25"/>
  <c r="Y25"/>
  <c r="Z25"/>
  <c r="AA25"/>
  <c r="N26"/>
  <c r="O26"/>
  <c r="P26"/>
  <c r="Q26"/>
  <c r="R26"/>
  <c r="S26"/>
  <c r="T26"/>
  <c r="U26"/>
  <c r="V26"/>
  <c r="W26"/>
  <c r="X26"/>
  <c r="Y26"/>
  <c r="Z26"/>
  <c r="AA26"/>
  <c r="N27"/>
  <c r="O27"/>
  <c r="P27"/>
  <c r="Q27"/>
  <c r="R27"/>
  <c r="S27"/>
  <c r="T27"/>
  <c r="U27"/>
  <c r="V27"/>
  <c r="W27"/>
  <c r="X27"/>
  <c r="Y27"/>
  <c r="Z27"/>
  <c r="AA27"/>
  <c r="M13"/>
  <c r="M14"/>
  <c r="M15"/>
  <c r="M16"/>
  <c r="M17"/>
  <c r="M18"/>
  <c r="M19"/>
  <c r="M20"/>
  <c r="M21"/>
  <c r="M22"/>
  <c r="M23"/>
  <c r="M24"/>
  <c r="M25"/>
  <c r="M26"/>
  <c r="M27"/>
  <c r="L15"/>
  <c r="L16"/>
  <c r="L17"/>
  <c r="L18"/>
  <c r="L19"/>
  <c r="L20"/>
  <c r="L21"/>
  <c r="L22"/>
  <c r="L23"/>
  <c r="L24"/>
  <c r="L25"/>
  <c r="L26"/>
  <c r="L27"/>
  <c r="L14"/>
  <c r="L13"/>
  <c r="D33"/>
  <c r="E33"/>
  <c r="F33"/>
  <c r="G33"/>
  <c r="H33"/>
  <c r="D34"/>
  <c r="E34"/>
  <c r="F34"/>
  <c r="G34"/>
  <c r="H34"/>
  <c r="D35"/>
  <c r="E35"/>
  <c r="F35"/>
  <c r="G35"/>
  <c r="H35"/>
  <c r="D36"/>
  <c r="E36"/>
  <c r="F36"/>
  <c r="G36"/>
  <c r="H36"/>
  <c r="D37"/>
  <c r="E37"/>
  <c r="F37"/>
  <c r="G37"/>
  <c r="H37"/>
  <c r="D38"/>
  <c r="E38"/>
  <c r="F38"/>
  <c r="G38"/>
  <c r="H38"/>
  <c r="D39"/>
  <c r="E39"/>
  <c r="F39"/>
  <c r="G39"/>
  <c r="H39"/>
  <c r="D40"/>
  <c r="E40"/>
  <c r="F40"/>
  <c r="G40"/>
  <c r="H40"/>
  <c r="D41"/>
  <c r="E41"/>
  <c r="F41"/>
  <c r="G41"/>
  <c r="H41"/>
  <c r="D42"/>
  <c r="E42"/>
  <c r="F42"/>
  <c r="G42"/>
  <c r="H42"/>
  <c r="D43"/>
  <c r="E43"/>
  <c r="F43"/>
  <c r="G43"/>
  <c r="H43"/>
  <c r="D44"/>
  <c r="E44"/>
  <c r="F44"/>
  <c r="G44"/>
  <c r="H44"/>
  <c r="D45"/>
  <c r="E45"/>
  <c r="F45"/>
  <c r="G45"/>
  <c r="H45"/>
  <c r="D46"/>
  <c r="E46"/>
  <c r="F46"/>
  <c r="G46"/>
  <c r="H46"/>
  <c r="D47"/>
  <c r="E47"/>
  <c r="F47"/>
  <c r="G47"/>
  <c r="H47"/>
  <c r="C34"/>
  <c r="C35"/>
  <c r="C36"/>
  <c r="C37"/>
  <c r="C38"/>
  <c r="C39"/>
  <c r="C40"/>
  <c r="C41"/>
  <c r="C42"/>
  <c r="C43"/>
  <c r="C44"/>
  <c r="C45"/>
  <c r="C46"/>
  <c r="C47"/>
  <c r="C33"/>
  <c r="E13"/>
  <c r="F13"/>
  <c r="G13"/>
  <c r="H13"/>
  <c r="E14"/>
  <c r="F14"/>
  <c r="G14"/>
  <c r="H14"/>
  <c r="E15"/>
  <c r="F15"/>
  <c r="G15"/>
  <c r="H15"/>
  <c r="E16"/>
  <c r="F16"/>
  <c r="G16"/>
  <c r="H16"/>
  <c r="E17"/>
  <c r="F17"/>
  <c r="G17"/>
  <c r="H17"/>
  <c r="E18"/>
  <c r="F18"/>
  <c r="G18"/>
  <c r="H18"/>
  <c r="E19"/>
  <c r="F19"/>
  <c r="G19"/>
  <c r="H19"/>
  <c r="E20"/>
  <c r="F20"/>
  <c r="G20"/>
  <c r="H20"/>
  <c r="E21"/>
  <c r="F21"/>
  <c r="G21"/>
  <c r="H21"/>
  <c r="E22"/>
  <c r="F22"/>
  <c r="G22"/>
  <c r="H22"/>
  <c r="E23"/>
  <c r="F23"/>
  <c r="G23"/>
  <c r="H23"/>
  <c r="E24"/>
  <c r="F24"/>
  <c r="G24"/>
  <c r="H24"/>
  <c r="E25"/>
  <c r="F25"/>
  <c r="G25"/>
  <c r="H25"/>
  <c r="E26"/>
  <c r="F26"/>
  <c r="G26"/>
  <c r="H26"/>
  <c r="E27"/>
  <c r="F27"/>
  <c r="G27"/>
  <c r="H27"/>
  <c r="D14"/>
  <c r="D15"/>
  <c r="D16"/>
  <c r="D17"/>
  <c r="D18"/>
  <c r="D19"/>
  <c r="D20"/>
  <c r="D21"/>
  <c r="D22"/>
  <c r="D23"/>
  <c r="D24"/>
  <c r="D25"/>
  <c r="D26"/>
  <c r="D27"/>
  <c r="D13"/>
  <c r="C14"/>
  <c r="C15"/>
  <c r="C16"/>
  <c r="C17"/>
  <c r="C18"/>
  <c r="C19"/>
  <c r="C20"/>
  <c r="C21"/>
  <c r="C22"/>
  <c r="C23"/>
  <c r="C24"/>
  <c r="C25"/>
  <c r="C26"/>
  <c r="C27"/>
  <c r="C13"/>
  <c r="F5" i="11"/>
  <c r="G5"/>
  <c r="H5"/>
  <c r="I5"/>
  <c r="J5"/>
  <c r="K5"/>
  <c r="L5"/>
  <c r="F6"/>
  <c r="G6"/>
  <c r="H6"/>
  <c r="I6"/>
  <c r="J6"/>
  <c r="K6"/>
  <c r="L6"/>
  <c r="F7"/>
  <c r="G7"/>
  <c r="H7"/>
  <c r="I7"/>
  <c r="J7"/>
  <c r="K7"/>
  <c r="L7"/>
  <c r="F8"/>
  <c r="G8"/>
  <c r="H8"/>
  <c r="I8"/>
  <c r="J8"/>
  <c r="K8"/>
  <c r="L8"/>
  <c r="F9"/>
  <c r="G9"/>
  <c r="H9"/>
  <c r="I9"/>
  <c r="J9"/>
  <c r="K9"/>
  <c r="L9"/>
  <c r="F10"/>
  <c r="G10"/>
  <c r="H10"/>
  <c r="I10"/>
  <c r="J10"/>
  <c r="K10"/>
  <c r="L10"/>
  <c r="F11"/>
  <c r="G11"/>
  <c r="H11"/>
  <c r="I11"/>
  <c r="J11"/>
  <c r="K11"/>
  <c r="L11"/>
  <c r="F12"/>
  <c r="G12"/>
  <c r="H12"/>
  <c r="I12"/>
  <c r="J12"/>
  <c r="K12"/>
  <c r="L12"/>
  <c r="F13"/>
  <c r="G13"/>
  <c r="H13"/>
  <c r="I13"/>
  <c r="J13"/>
  <c r="K13"/>
  <c r="L13"/>
  <c r="F14"/>
  <c r="G14"/>
  <c r="H14"/>
  <c r="I14"/>
  <c r="J14"/>
  <c r="K14"/>
  <c r="L14"/>
  <c r="F15"/>
  <c r="G15"/>
  <c r="H15"/>
  <c r="I15"/>
  <c r="J15"/>
  <c r="K15"/>
  <c r="L15"/>
  <c r="F16"/>
  <c r="G16"/>
  <c r="H16"/>
  <c r="I16"/>
  <c r="J16"/>
  <c r="K16"/>
  <c r="L16"/>
  <c r="F17"/>
  <c r="G17"/>
  <c r="H17"/>
  <c r="I17"/>
  <c r="J17"/>
  <c r="K17"/>
  <c r="L17"/>
  <c r="F18"/>
  <c r="G18"/>
  <c r="H18"/>
  <c r="I18"/>
  <c r="J18"/>
  <c r="K18"/>
  <c r="L18"/>
  <c r="F19"/>
  <c r="G19"/>
  <c r="H19"/>
  <c r="I19"/>
  <c r="J19"/>
  <c r="K19"/>
  <c r="L19"/>
  <c r="E5"/>
  <c r="E6"/>
  <c r="E7"/>
  <c r="E8"/>
  <c r="E9"/>
  <c r="E10"/>
  <c r="E11"/>
  <c r="E12"/>
  <c r="E13"/>
  <c r="E14"/>
  <c r="E15"/>
  <c r="E16"/>
  <c r="E17"/>
  <c r="E18"/>
  <c r="E19"/>
  <c r="D5"/>
  <c r="D6"/>
  <c r="D7"/>
  <c r="D8"/>
  <c r="D9"/>
  <c r="D10"/>
  <c r="D11"/>
  <c r="D12"/>
  <c r="D13"/>
  <c r="D14"/>
  <c r="D15"/>
  <c r="D16"/>
  <c r="D17"/>
  <c r="D18"/>
  <c r="D19"/>
  <c r="C6"/>
  <c r="C7"/>
  <c r="C8"/>
  <c r="C9"/>
  <c r="C10"/>
  <c r="C11"/>
  <c r="C12"/>
  <c r="C13"/>
  <c r="C14"/>
  <c r="C15"/>
  <c r="C16"/>
  <c r="C17"/>
  <c r="C18"/>
  <c r="C19"/>
  <c r="C5"/>
  <c r="D24" i="7"/>
  <c r="E24"/>
  <c r="F24"/>
  <c r="G24"/>
  <c r="H24"/>
  <c r="I24"/>
  <c r="J24"/>
  <c r="K24"/>
  <c r="L24"/>
  <c r="M24"/>
  <c r="N24"/>
  <c r="O24"/>
  <c r="P24"/>
  <c r="Q24"/>
  <c r="R24"/>
  <c r="D25"/>
  <c r="E25"/>
  <c r="F25"/>
  <c r="G25"/>
  <c r="H25"/>
  <c r="I25"/>
  <c r="J25"/>
  <c r="K25"/>
  <c r="L25"/>
  <c r="M25"/>
  <c r="N25"/>
  <c r="O25"/>
  <c r="P25"/>
  <c r="Q25"/>
  <c r="R25"/>
  <c r="D26"/>
  <c r="E26"/>
  <c r="F26"/>
  <c r="G26"/>
  <c r="H26"/>
  <c r="I26"/>
  <c r="J26"/>
  <c r="K26"/>
  <c r="L26"/>
  <c r="M26"/>
  <c r="N26"/>
  <c r="O26"/>
  <c r="P26"/>
  <c r="Q26"/>
  <c r="R26"/>
  <c r="D27"/>
  <c r="E27"/>
  <c r="F27"/>
  <c r="G27"/>
  <c r="H27"/>
  <c r="I27"/>
  <c r="J27"/>
  <c r="K27"/>
  <c r="L27"/>
  <c r="M27"/>
  <c r="N27"/>
  <c r="O27"/>
  <c r="P27"/>
  <c r="Q27"/>
  <c r="R27"/>
  <c r="D28"/>
  <c r="E28"/>
  <c r="F28"/>
  <c r="G28"/>
  <c r="H28"/>
  <c r="I28"/>
  <c r="J28"/>
  <c r="K28"/>
  <c r="L28"/>
  <c r="M28"/>
  <c r="N28"/>
  <c r="O28"/>
  <c r="P28"/>
  <c r="Q28"/>
  <c r="R28"/>
  <c r="D29"/>
  <c r="E29"/>
  <c r="F29"/>
  <c r="G29"/>
  <c r="H29"/>
  <c r="I29"/>
  <c r="J29"/>
  <c r="K29"/>
  <c r="L29"/>
  <c r="M29"/>
  <c r="N29"/>
  <c r="O29"/>
  <c r="P29"/>
  <c r="Q29"/>
  <c r="R29"/>
  <c r="D30"/>
  <c r="E30"/>
  <c r="F30"/>
  <c r="G30"/>
  <c r="H30"/>
  <c r="I30"/>
  <c r="J30"/>
  <c r="K30"/>
  <c r="L30"/>
  <c r="M30"/>
  <c r="N30"/>
  <c r="O30"/>
  <c r="P30"/>
  <c r="Q30"/>
  <c r="R30"/>
  <c r="D31"/>
  <c r="E31"/>
  <c r="F31"/>
  <c r="G31"/>
  <c r="H31"/>
  <c r="I31"/>
  <c r="J31"/>
  <c r="K31"/>
  <c r="L31"/>
  <c r="M31"/>
  <c r="N31"/>
  <c r="O31"/>
  <c r="P31"/>
  <c r="Q31"/>
  <c r="R31"/>
  <c r="D32"/>
  <c r="E32"/>
  <c r="F32"/>
  <c r="G32"/>
  <c r="H32"/>
  <c r="I32"/>
  <c r="J32"/>
  <c r="K32"/>
  <c r="L32"/>
  <c r="M32"/>
  <c r="N32"/>
  <c r="O32"/>
  <c r="P32"/>
  <c r="Q32"/>
  <c r="R32"/>
  <c r="D33"/>
  <c r="E33"/>
  <c r="F33"/>
  <c r="G33"/>
  <c r="H33"/>
  <c r="I33"/>
  <c r="J33"/>
  <c r="K33"/>
  <c r="L33"/>
  <c r="M33"/>
  <c r="N33"/>
  <c r="O33"/>
  <c r="P33"/>
  <c r="Q33"/>
  <c r="R33"/>
  <c r="D34"/>
  <c r="E34"/>
  <c r="F34"/>
  <c r="G34"/>
  <c r="H34"/>
  <c r="I34"/>
  <c r="J34"/>
  <c r="K34"/>
  <c r="L34"/>
  <c r="M34"/>
  <c r="N34"/>
  <c r="O34"/>
  <c r="P34"/>
  <c r="Q34"/>
  <c r="R34"/>
  <c r="D35"/>
  <c r="E35"/>
  <c r="F35"/>
  <c r="G35"/>
  <c r="H35"/>
  <c r="I35"/>
  <c r="J35"/>
  <c r="K35"/>
  <c r="L35"/>
  <c r="M35"/>
  <c r="N35"/>
  <c r="O35"/>
  <c r="P35"/>
  <c r="Q35"/>
  <c r="R35"/>
  <c r="D36"/>
  <c r="E36"/>
  <c r="F36"/>
  <c r="G36"/>
  <c r="H36"/>
  <c r="I36"/>
  <c r="J36"/>
  <c r="K36"/>
  <c r="L36"/>
  <c r="M36"/>
  <c r="N36"/>
  <c r="O36"/>
  <c r="P36"/>
  <c r="Q36"/>
  <c r="R36"/>
  <c r="D37"/>
  <c r="E37"/>
  <c r="F37"/>
  <c r="G37"/>
  <c r="H37"/>
  <c r="I37"/>
  <c r="J37"/>
  <c r="K37"/>
  <c r="L37"/>
  <c r="M37"/>
  <c r="N37"/>
  <c r="O37"/>
  <c r="P37"/>
  <c r="Q37"/>
  <c r="R37"/>
  <c r="D38"/>
  <c r="E38"/>
  <c r="F38"/>
  <c r="G38"/>
  <c r="H38"/>
  <c r="I38"/>
  <c r="J38"/>
  <c r="K38"/>
  <c r="L38"/>
  <c r="M38"/>
  <c r="N38"/>
  <c r="O38"/>
  <c r="P38"/>
  <c r="Q38"/>
  <c r="R38"/>
  <c r="C25"/>
  <c r="C26"/>
  <c r="C27"/>
  <c r="C28"/>
  <c r="C29"/>
  <c r="C30"/>
  <c r="C31"/>
  <c r="C32"/>
  <c r="C33"/>
  <c r="C34"/>
  <c r="C35"/>
  <c r="C36"/>
  <c r="C37"/>
  <c r="C38"/>
  <c r="C24"/>
  <c r="E6"/>
  <c r="F6"/>
  <c r="G6"/>
  <c r="H6"/>
  <c r="I6"/>
  <c r="E7"/>
  <c r="F7"/>
  <c r="G7"/>
  <c r="H7"/>
  <c r="I7"/>
  <c r="E8"/>
  <c r="F8"/>
  <c r="G8"/>
  <c r="H8"/>
  <c r="I8"/>
  <c r="E9"/>
  <c r="F9"/>
  <c r="G9"/>
  <c r="H9"/>
  <c r="I9"/>
  <c r="E10"/>
  <c r="F10"/>
  <c r="G10"/>
  <c r="H10"/>
  <c r="I10"/>
  <c r="E11"/>
  <c r="F11"/>
  <c r="G11"/>
  <c r="H11"/>
  <c r="I11"/>
  <c r="E12"/>
  <c r="F12"/>
  <c r="G12"/>
  <c r="H12"/>
  <c r="I12"/>
  <c r="E13"/>
  <c r="F13"/>
  <c r="G13"/>
  <c r="H13"/>
  <c r="I13"/>
  <c r="E14"/>
  <c r="F14"/>
  <c r="G14"/>
  <c r="H14"/>
  <c r="I14"/>
  <c r="E15"/>
  <c r="F15"/>
  <c r="G15"/>
  <c r="H15"/>
  <c r="I15"/>
  <c r="E16"/>
  <c r="F16"/>
  <c r="G16"/>
  <c r="H16"/>
  <c r="I16"/>
  <c r="E17"/>
  <c r="F17"/>
  <c r="G17"/>
  <c r="H17"/>
  <c r="I17"/>
  <c r="E18"/>
  <c r="F18"/>
  <c r="G18"/>
  <c r="H18"/>
  <c r="I18"/>
  <c r="E19"/>
  <c r="F19"/>
  <c r="G19"/>
  <c r="H19"/>
  <c r="I19"/>
  <c r="E20"/>
  <c r="F20"/>
  <c r="G20"/>
  <c r="H20"/>
  <c r="I20"/>
  <c r="D6"/>
  <c r="D7"/>
  <c r="D8"/>
  <c r="D9"/>
  <c r="D10"/>
  <c r="D11"/>
  <c r="D12"/>
  <c r="D13"/>
  <c r="D14"/>
  <c r="D15"/>
  <c r="D16"/>
  <c r="D17"/>
  <c r="D18"/>
  <c r="D19"/>
  <c r="D20"/>
  <c r="C7"/>
  <c r="C8"/>
  <c r="C9"/>
  <c r="C10"/>
  <c r="C11"/>
  <c r="C12"/>
  <c r="C13"/>
  <c r="C14"/>
  <c r="C15"/>
  <c r="C16"/>
  <c r="C17"/>
  <c r="C18"/>
  <c r="C19"/>
  <c r="C20"/>
  <c r="C6"/>
  <c r="E9" i="8"/>
  <c r="F9"/>
  <c r="G9"/>
  <c r="H9"/>
  <c r="I9"/>
  <c r="J9"/>
  <c r="K9"/>
  <c r="L9"/>
  <c r="M9"/>
  <c r="N9"/>
  <c r="O9"/>
  <c r="P9"/>
  <c r="E10"/>
  <c r="F10"/>
  <c r="G10"/>
  <c r="H10"/>
  <c r="I10"/>
  <c r="J10"/>
  <c r="K10"/>
  <c r="L10"/>
  <c r="M10"/>
  <c r="N10"/>
  <c r="O10"/>
  <c r="P10"/>
  <c r="E11"/>
  <c r="F11"/>
  <c r="G11"/>
  <c r="H11"/>
  <c r="I11"/>
  <c r="J11"/>
  <c r="K11"/>
  <c r="L11"/>
  <c r="M11"/>
  <c r="N11"/>
  <c r="O11"/>
  <c r="P11"/>
  <c r="E12"/>
  <c r="F12"/>
  <c r="G12"/>
  <c r="H12"/>
  <c r="I12"/>
  <c r="J12"/>
  <c r="K12"/>
  <c r="L12"/>
  <c r="M12"/>
  <c r="N12"/>
  <c r="O12"/>
  <c r="P12"/>
  <c r="E13"/>
  <c r="F13"/>
  <c r="G13"/>
  <c r="H13"/>
  <c r="I13"/>
  <c r="J13"/>
  <c r="K13"/>
  <c r="L13"/>
  <c r="M13"/>
  <c r="N13"/>
  <c r="O13"/>
  <c r="P13"/>
  <c r="E14"/>
  <c r="F14"/>
  <c r="G14"/>
  <c r="H14"/>
  <c r="I14"/>
  <c r="J14"/>
  <c r="K14"/>
  <c r="L14"/>
  <c r="M14"/>
  <c r="N14"/>
  <c r="O14"/>
  <c r="P14"/>
  <c r="E15"/>
  <c r="F15"/>
  <c r="G15"/>
  <c r="H15"/>
  <c r="I15"/>
  <c r="J15"/>
  <c r="K15"/>
  <c r="L15"/>
  <c r="M15"/>
  <c r="N15"/>
  <c r="O15"/>
  <c r="P15"/>
  <c r="E16"/>
  <c r="F16"/>
  <c r="G16"/>
  <c r="H16"/>
  <c r="I16"/>
  <c r="J16"/>
  <c r="K16"/>
  <c r="L16"/>
  <c r="M16"/>
  <c r="N16"/>
  <c r="O16"/>
  <c r="P16"/>
  <c r="E17"/>
  <c r="F17"/>
  <c r="G17"/>
  <c r="H17"/>
  <c r="I17"/>
  <c r="J17"/>
  <c r="K17"/>
  <c r="L17"/>
  <c r="M17"/>
  <c r="N17"/>
  <c r="O17"/>
  <c r="P17"/>
  <c r="E18"/>
  <c r="F18"/>
  <c r="G18"/>
  <c r="H18"/>
  <c r="I18"/>
  <c r="J18"/>
  <c r="K18"/>
  <c r="L18"/>
  <c r="M18"/>
  <c r="N18"/>
  <c r="O18"/>
  <c r="P18"/>
  <c r="E19"/>
  <c r="F19"/>
  <c r="G19"/>
  <c r="H19"/>
  <c r="I19"/>
  <c r="J19"/>
  <c r="K19"/>
  <c r="L19"/>
  <c r="M19"/>
  <c r="N19"/>
  <c r="O19"/>
  <c r="P19"/>
  <c r="E20"/>
  <c r="F20"/>
  <c r="G20"/>
  <c r="H20"/>
  <c r="I20"/>
  <c r="J20"/>
  <c r="K20"/>
  <c r="L20"/>
  <c r="M20"/>
  <c r="N20"/>
  <c r="O20"/>
  <c r="P20"/>
  <c r="E21"/>
  <c r="F21"/>
  <c r="G21"/>
  <c r="H21"/>
  <c r="I21"/>
  <c r="J21"/>
  <c r="K21"/>
  <c r="L21"/>
  <c r="M21"/>
  <c r="N21"/>
  <c r="O21"/>
  <c r="P21"/>
  <c r="E22"/>
  <c r="F22"/>
  <c r="G22"/>
  <c r="H22"/>
  <c r="I22"/>
  <c r="J22"/>
  <c r="K22"/>
  <c r="L22"/>
  <c r="M22"/>
  <c r="N22"/>
  <c r="O22"/>
  <c r="P22"/>
  <c r="E23"/>
  <c r="F23"/>
  <c r="G23"/>
  <c r="H23"/>
  <c r="I23"/>
  <c r="J23"/>
  <c r="K23"/>
  <c r="L23"/>
  <c r="M23"/>
  <c r="N23"/>
  <c r="O23"/>
  <c r="P23"/>
  <c r="D10"/>
  <c r="D11"/>
  <c r="D12"/>
  <c r="D13"/>
  <c r="D14"/>
  <c r="D15"/>
  <c r="D16"/>
  <c r="D17"/>
  <c r="D18"/>
  <c r="D19"/>
  <c r="D20"/>
  <c r="D21"/>
  <c r="D22"/>
  <c r="D23"/>
  <c r="D9"/>
  <c r="C11"/>
  <c r="C12"/>
  <c r="C13"/>
  <c r="C14"/>
  <c r="C15"/>
  <c r="C16"/>
  <c r="C17"/>
  <c r="C18"/>
  <c r="C19"/>
  <c r="C20"/>
  <c r="C21"/>
  <c r="C22"/>
  <c r="C23"/>
  <c r="C10"/>
  <c r="C9"/>
  <c r="M93" i="6"/>
  <c r="L93"/>
  <c r="K93"/>
  <c r="J93"/>
  <c r="I93"/>
  <c r="H93"/>
  <c r="G93"/>
  <c r="F93"/>
  <c r="E93"/>
  <c r="D93"/>
  <c r="C93"/>
  <c r="B93"/>
  <c r="M92"/>
  <c r="L92"/>
  <c r="K92"/>
  <c r="J92"/>
  <c r="I92"/>
  <c r="H92"/>
  <c r="G92"/>
  <c r="F92"/>
  <c r="E92"/>
  <c r="D92"/>
  <c r="C92"/>
  <c r="B92"/>
  <c r="M91"/>
  <c r="L91"/>
  <c r="K91"/>
  <c r="J91"/>
  <c r="I91"/>
  <c r="H91"/>
  <c r="G91"/>
  <c r="F91"/>
  <c r="E91"/>
  <c r="D91"/>
  <c r="C91"/>
  <c r="B91"/>
  <c r="M90"/>
  <c r="L90"/>
  <c r="K90"/>
  <c r="J90"/>
  <c r="I90"/>
  <c r="H90"/>
  <c r="G90"/>
  <c r="F90"/>
  <c r="E90"/>
  <c r="D90"/>
  <c r="C90"/>
  <c r="B90"/>
  <c r="M89"/>
  <c r="L89"/>
  <c r="K89"/>
  <c r="J89"/>
  <c r="I89"/>
  <c r="H89"/>
  <c r="G89"/>
  <c r="F89"/>
  <c r="E89"/>
  <c r="D89"/>
  <c r="C89"/>
  <c r="B89"/>
  <c r="M88"/>
  <c r="L88"/>
  <c r="K88"/>
  <c r="J88"/>
  <c r="I88"/>
  <c r="H88"/>
  <c r="G88"/>
  <c r="F88"/>
  <c r="E88"/>
  <c r="D88"/>
  <c r="C88"/>
  <c r="B88"/>
  <c r="M87"/>
  <c r="L87"/>
  <c r="K87"/>
  <c r="J87"/>
  <c r="I87"/>
  <c r="H87"/>
  <c r="G87"/>
  <c r="F87"/>
  <c r="E87"/>
  <c r="D87"/>
  <c r="C87"/>
  <c r="B87"/>
  <c r="M86"/>
  <c r="L86"/>
  <c r="K86"/>
  <c r="J86"/>
  <c r="I86"/>
  <c r="H86"/>
  <c r="G86"/>
  <c r="F86"/>
  <c r="E86"/>
  <c r="D86"/>
  <c r="C86"/>
  <c r="B86"/>
  <c r="M85"/>
  <c r="L85"/>
  <c r="K85"/>
  <c r="J85"/>
  <c r="I85"/>
  <c r="H85"/>
  <c r="G85"/>
  <c r="F85"/>
  <c r="E85"/>
  <c r="D85"/>
  <c r="C85"/>
  <c r="B85"/>
  <c r="M84"/>
  <c r="L84"/>
  <c r="K84"/>
  <c r="J84"/>
  <c r="I84"/>
  <c r="H84"/>
  <c r="G84"/>
  <c r="F84"/>
  <c r="E84"/>
  <c r="D84"/>
  <c r="C84"/>
  <c r="B84"/>
  <c r="M83"/>
  <c r="L83"/>
  <c r="K83"/>
  <c r="J83"/>
  <c r="I83"/>
  <c r="H83"/>
  <c r="G83"/>
  <c r="F83"/>
  <c r="E83"/>
  <c r="D83"/>
  <c r="C83"/>
  <c r="B83"/>
  <c r="M82"/>
  <c r="L82"/>
  <c r="K82"/>
  <c r="J82"/>
  <c r="I82"/>
  <c r="H82"/>
  <c r="G82"/>
  <c r="F82"/>
  <c r="E82"/>
  <c r="D82"/>
  <c r="C82"/>
  <c r="B82"/>
  <c r="M81"/>
  <c r="L81"/>
  <c r="K81"/>
  <c r="J81"/>
  <c r="I81"/>
  <c r="H81"/>
  <c r="G81"/>
  <c r="F81"/>
  <c r="E81"/>
  <c r="D81"/>
  <c r="C81"/>
  <c r="B81"/>
  <c r="M80"/>
  <c r="L80"/>
  <c r="K80"/>
  <c r="J80"/>
  <c r="I80"/>
  <c r="H80"/>
  <c r="G80"/>
  <c r="F80"/>
  <c r="E80"/>
  <c r="D80"/>
  <c r="C80"/>
  <c r="B80"/>
  <c r="M79"/>
  <c r="L79"/>
  <c r="K79"/>
  <c r="J79"/>
  <c r="I79"/>
  <c r="H79"/>
  <c r="G79"/>
  <c r="F79"/>
  <c r="E79"/>
  <c r="D79"/>
  <c r="C79"/>
  <c r="B79"/>
  <c r="M74"/>
  <c r="L74"/>
  <c r="K74"/>
  <c r="J74"/>
  <c r="I74"/>
  <c r="H74"/>
  <c r="G74"/>
  <c r="F74"/>
  <c r="E74"/>
  <c r="D74"/>
  <c r="C74"/>
  <c r="B74"/>
  <c r="M73"/>
  <c r="L73"/>
  <c r="K73"/>
  <c r="J73"/>
  <c r="I73"/>
  <c r="H73"/>
  <c r="G73"/>
  <c r="F73"/>
  <c r="E73"/>
  <c r="D73"/>
  <c r="C73"/>
  <c r="B73"/>
  <c r="M72"/>
  <c r="L72"/>
  <c r="K72"/>
  <c r="J72"/>
  <c r="I72"/>
  <c r="H72"/>
  <c r="G72"/>
  <c r="F72"/>
  <c r="E72"/>
  <c r="D72"/>
  <c r="C72"/>
  <c r="B72"/>
  <c r="M71"/>
  <c r="L71"/>
  <c r="K71"/>
  <c r="J71"/>
  <c r="I71"/>
  <c r="H71"/>
  <c r="G71"/>
  <c r="F71"/>
  <c r="E71"/>
  <c r="D71"/>
  <c r="C71"/>
  <c r="B71"/>
  <c r="M70"/>
  <c r="L70"/>
  <c r="K70"/>
  <c r="J70"/>
  <c r="I70"/>
  <c r="H70"/>
  <c r="G70"/>
  <c r="F70"/>
  <c r="E70"/>
  <c r="D70"/>
  <c r="C70"/>
  <c r="B70"/>
  <c r="M69"/>
  <c r="L69"/>
  <c r="K69"/>
  <c r="J69"/>
  <c r="I69"/>
  <c r="H69"/>
  <c r="G69"/>
  <c r="F69"/>
  <c r="E69"/>
  <c r="D69"/>
  <c r="C69"/>
  <c r="B69"/>
  <c r="M68"/>
  <c r="L68"/>
  <c r="K68"/>
  <c r="J68"/>
  <c r="I68"/>
  <c r="H68"/>
  <c r="G68"/>
  <c r="F68"/>
  <c r="E68"/>
  <c r="D68"/>
  <c r="C68"/>
  <c r="B68"/>
  <c r="M67"/>
  <c r="L67"/>
  <c r="K67"/>
  <c r="J67"/>
  <c r="I67"/>
  <c r="H67"/>
  <c r="G67"/>
  <c r="F67"/>
  <c r="E67"/>
  <c r="D67"/>
  <c r="C67"/>
  <c r="B67"/>
  <c r="M66"/>
  <c r="L66"/>
  <c r="K66"/>
  <c r="J66"/>
  <c r="I66"/>
  <c r="H66"/>
  <c r="G66"/>
  <c r="F66"/>
  <c r="E66"/>
  <c r="D66"/>
  <c r="C66"/>
  <c r="B66"/>
  <c r="M65"/>
  <c r="L65"/>
  <c r="K65"/>
  <c r="J65"/>
  <c r="I65"/>
  <c r="H65"/>
  <c r="G65"/>
  <c r="F65"/>
  <c r="E65"/>
  <c r="D65"/>
  <c r="C65"/>
  <c r="B65"/>
  <c r="M64"/>
  <c r="L64"/>
  <c r="K64"/>
  <c r="J64"/>
  <c r="I64"/>
  <c r="H64"/>
  <c r="G64"/>
  <c r="F64"/>
  <c r="E64"/>
  <c r="D64"/>
  <c r="C64"/>
  <c r="B64"/>
  <c r="M63"/>
  <c r="L63"/>
  <c r="K63"/>
  <c r="J63"/>
  <c r="I63"/>
  <c r="H63"/>
  <c r="G63"/>
  <c r="F63"/>
  <c r="E63"/>
  <c r="D63"/>
  <c r="C63"/>
  <c r="B63"/>
  <c r="M62"/>
  <c r="L62"/>
  <c r="K62"/>
  <c r="J62"/>
  <c r="I62"/>
  <c r="H62"/>
  <c r="G62"/>
  <c r="F62"/>
  <c r="E62"/>
  <c r="D62"/>
  <c r="C62"/>
  <c r="B62"/>
  <c r="M61"/>
  <c r="L61"/>
  <c r="K61"/>
  <c r="J61"/>
  <c r="I61"/>
  <c r="H61"/>
  <c r="G61"/>
  <c r="F61"/>
  <c r="E61"/>
  <c r="D61"/>
  <c r="C61"/>
  <c r="B61"/>
  <c r="M60"/>
  <c r="L60"/>
  <c r="K60"/>
  <c r="J60"/>
  <c r="I60"/>
  <c r="H60"/>
  <c r="G60"/>
  <c r="F60"/>
  <c r="E60"/>
  <c r="D60"/>
  <c r="C60"/>
  <c r="B60"/>
  <c r="M57"/>
  <c r="L57"/>
  <c r="K57"/>
  <c r="J57"/>
  <c r="I57"/>
  <c r="H57"/>
  <c r="G57"/>
  <c r="F57"/>
  <c r="E57"/>
  <c r="D57"/>
  <c r="C57"/>
  <c r="B57"/>
  <c r="M56"/>
  <c r="L56"/>
  <c r="K56"/>
  <c r="J56"/>
  <c r="I56"/>
  <c r="H56"/>
  <c r="G56"/>
  <c r="F56"/>
  <c r="E56"/>
  <c r="D56"/>
  <c r="C56"/>
  <c r="B56"/>
  <c r="M55"/>
  <c r="L55"/>
  <c r="K55"/>
  <c r="J55"/>
  <c r="I55"/>
  <c r="H55"/>
  <c r="G55"/>
  <c r="F55"/>
  <c r="E55"/>
  <c r="D55"/>
  <c r="C55"/>
  <c r="B55"/>
  <c r="M54"/>
  <c r="L54"/>
  <c r="K54"/>
  <c r="J54"/>
  <c r="I54"/>
  <c r="H54"/>
  <c r="G54"/>
  <c r="F54"/>
  <c r="E54"/>
  <c r="D54"/>
  <c r="C54"/>
  <c r="B54"/>
  <c r="M53"/>
  <c r="L53"/>
  <c r="K53"/>
  <c r="J53"/>
  <c r="I53"/>
  <c r="H53"/>
  <c r="G53"/>
  <c r="F53"/>
  <c r="E53"/>
  <c r="D53"/>
  <c r="C53"/>
  <c r="B53"/>
  <c r="M52"/>
  <c r="L52"/>
  <c r="K52"/>
  <c r="J52"/>
  <c r="I52"/>
  <c r="H52"/>
  <c r="G52"/>
  <c r="F52"/>
  <c r="E52"/>
  <c r="D52"/>
  <c r="C52"/>
  <c r="B52"/>
  <c r="M51"/>
  <c r="L51"/>
  <c r="K51"/>
  <c r="J51"/>
  <c r="I51"/>
  <c r="H51"/>
  <c r="G51"/>
  <c r="F51"/>
  <c r="E51"/>
  <c r="D51"/>
  <c r="C51"/>
  <c r="B51"/>
  <c r="M50"/>
  <c r="L50"/>
  <c r="K50"/>
  <c r="J50"/>
  <c r="I50"/>
  <c r="H50"/>
  <c r="G50"/>
  <c r="F50"/>
  <c r="E50"/>
  <c r="D50"/>
  <c r="C50"/>
  <c r="B50"/>
  <c r="M49"/>
  <c r="L49"/>
  <c r="K49"/>
  <c r="J49"/>
  <c r="I49"/>
  <c r="H49"/>
  <c r="G49"/>
  <c r="F49"/>
  <c r="E49"/>
  <c r="D49"/>
  <c r="C49"/>
  <c r="B49"/>
  <c r="M48"/>
  <c r="L48"/>
  <c r="K48"/>
  <c r="J48"/>
  <c r="I48"/>
  <c r="H48"/>
  <c r="G48"/>
  <c r="F48"/>
  <c r="E48"/>
  <c r="D48"/>
  <c r="C48"/>
  <c r="B48"/>
  <c r="M47"/>
  <c r="L47"/>
  <c r="K47"/>
  <c r="J47"/>
  <c r="I47"/>
  <c r="H47"/>
  <c r="G47"/>
  <c r="F47"/>
  <c r="E47"/>
  <c r="D47"/>
  <c r="C47"/>
  <c r="B47"/>
  <c r="M46"/>
  <c r="L46"/>
  <c r="K46"/>
  <c r="J46"/>
  <c r="I46"/>
  <c r="H46"/>
  <c r="G46"/>
  <c r="F46"/>
  <c r="E46"/>
  <c r="D46"/>
  <c r="C46"/>
  <c r="B46"/>
  <c r="M45"/>
  <c r="L45"/>
  <c r="K45"/>
  <c r="J45"/>
  <c r="I45"/>
  <c r="H45"/>
  <c r="G45"/>
  <c r="F45"/>
  <c r="E45"/>
  <c r="D45"/>
  <c r="C45"/>
  <c r="B45"/>
  <c r="M44"/>
  <c r="L44"/>
  <c r="K44"/>
  <c r="J44"/>
  <c r="I44"/>
  <c r="H44"/>
  <c r="G44"/>
  <c r="F44"/>
  <c r="E44"/>
  <c r="D44"/>
  <c r="C44"/>
  <c r="B44"/>
  <c r="M43"/>
  <c r="L43"/>
  <c r="K43"/>
  <c r="J43"/>
  <c r="I43"/>
  <c r="H43"/>
  <c r="G43"/>
  <c r="F43"/>
  <c r="E43"/>
  <c r="D43"/>
  <c r="C43"/>
  <c r="B43"/>
  <c r="M40"/>
  <c r="L40"/>
  <c r="K40"/>
  <c r="J40"/>
  <c r="I40"/>
  <c r="H40"/>
  <c r="G40"/>
  <c r="F40"/>
  <c r="E40"/>
  <c r="D40"/>
  <c r="C40"/>
  <c r="B40"/>
  <c r="M39"/>
  <c r="L39"/>
  <c r="K39"/>
  <c r="J39"/>
  <c r="I39"/>
  <c r="H39"/>
  <c r="G39"/>
  <c r="F39"/>
  <c r="E39"/>
  <c r="D39"/>
  <c r="C39"/>
  <c r="B39"/>
  <c r="M38"/>
  <c r="L38"/>
  <c r="K38"/>
  <c r="J38"/>
  <c r="I38"/>
  <c r="H38"/>
  <c r="G38"/>
  <c r="F38"/>
  <c r="E38"/>
  <c r="D38"/>
  <c r="C38"/>
  <c r="B38"/>
  <c r="M37"/>
  <c r="L37"/>
  <c r="K37"/>
  <c r="J37"/>
  <c r="I37"/>
  <c r="H37"/>
  <c r="G37"/>
  <c r="F37"/>
  <c r="E37"/>
  <c r="D37"/>
  <c r="C37"/>
  <c r="B37"/>
  <c r="M36"/>
  <c r="L36"/>
  <c r="K36"/>
  <c r="J36"/>
  <c r="I36"/>
  <c r="H36"/>
  <c r="G36"/>
  <c r="F36"/>
  <c r="E36"/>
  <c r="D36"/>
  <c r="C36"/>
  <c r="B36"/>
  <c r="M35"/>
  <c r="L35"/>
  <c r="K35"/>
  <c r="J35"/>
  <c r="I35"/>
  <c r="H35"/>
  <c r="G35"/>
  <c r="F35"/>
  <c r="E35"/>
  <c r="D35"/>
  <c r="C35"/>
  <c r="B35"/>
  <c r="M34"/>
  <c r="L34"/>
  <c r="K34"/>
  <c r="J34"/>
  <c r="I34"/>
  <c r="H34"/>
  <c r="G34"/>
  <c r="F34"/>
  <c r="E34"/>
  <c r="D34"/>
  <c r="C34"/>
  <c r="B34"/>
  <c r="M33"/>
  <c r="L33"/>
  <c r="K33"/>
  <c r="J33"/>
  <c r="I33"/>
  <c r="H33"/>
  <c r="G33"/>
  <c r="F33"/>
  <c r="E33"/>
  <c r="D33"/>
  <c r="C33"/>
  <c r="B33"/>
  <c r="M32"/>
  <c r="L32"/>
  <c r="K32"/>
  <c r="J32"/>
  <c r="I32"/>
  <c r="H32"/>
  <c r="G32"/>
  <c r="F32"/>
  <c r="E32"/>
  <c r="D32"/>
  <c r="C32"/>
  <c r="B32"/>
  <c r="M31"/>
  <c r="L31"/>
  <c r="K31"/>
  <c r="J31"/>
  <c r="I31"/>
  <c r="H31"/>
  <c r="G31"/>
  <c r="F31"/>
  <c r="E31"/>
  <c r="D31"/>
  <c r="C31"/>
  <c r="B31"/>
  <c r="M30"/>
  <c r="L30"/>
  <c r="K30"/>
  <c r="J30"/>
  <c r="I30"/>
  <c r="H30"/>
  <c r="G30"/>
  <c r="F30"/>
  <c r="E30"/>
  <c r="D30"/>
  <c r="C30"/>
  <c r="B30"/>
  <c r="M29"/>
  <c r="L29"/>
  <c r="K29"/>
  <c r="J29"/>
  <c r="I29"/>
  <c r="H29"/>
  <c r="G29"/>
  <c r="F29"/>
  <c r="E29"/>
  <c r="D29"/>
  <c r="C29"/>
  <c r="B29"/>
  <c r="M28"/>
  <c r="L28"/>
  <c r="K28"/>
  <c r="J28"/>
  <c r="I28"/>
  <c r="H28"/>
  <c r="G28"/>
  <c r="F28"/>
  <c r="E28"/>
  <c r="D28"/>
  <c r="C28"/>
  <c r="B28"/>
  <c r="M27"/>
  <c r="L27"/>
  <c r="K27"/>
  <c r="J27"/>
  <c r="I27"/>
  <c r="H27"/>
  <c r="G27"/>
  <c r="F27"/>
  <c r="E27"/>
  <c r="D27"/>
  <c r="C27"/>
  <c r="B27"/>
  <c r="M26"/>
  <c r="L26"/>
  <c r="K26"/>
  <c r="J26"/>
  <c r="I26"/>
  <c r="H26"/>
  <c r="G26"/>
  <c r="F26"/>
  <c r="E26"/>
  <c r="D26"/>
  <c r="C26"/>
  <c r="B26"/>
  <c r="M23"/>
  <c r="L23"/>
  <c r="K23"/>
  <c r="J23"/>
  <c r="I23"/>
  <c r="H23"/>
  <c r="G23"/>
  <c r="F23"/>
  <c r="E23"/>
  <c r="D23"/>
  <c r="C23"/>
  <c r="B23"/>
  <c r="M22"/>
  <c r="L22"/>
  <c r="K22"/>
  <c r="J22"/>
  <c r="I22"/>
  <c r="H22"/>
  <c r="G22"/>
  <c r="F22"/>
  <c r="E22"/>
  <c r="D22"/>
  <c r="C22"/>
  <c r="B22"/>
  <c r="M21"/>
  <c r="L21"/>
  <c r="K21"/>
  <c r="J21"/>
  <c r="I21"/>
  <c r="H21"/>
  <c r="G21"/>
  <c r="F21"/>
  <c r="E21"/>
  <c r="D21"/>
  <c r="C21"/>
  <c r="B21"/>
  <c r="M20"/>
  <c r="L20"/>
  <c r="K20"/>
  <c r="J20"/>
  <c r="I20"/>
  <c r="H20"/>
  <c r="G20"/>
  <c r="F20"/>
  <c r="E20"/>
  <c r="D20"/>
  <c r="C20"/>
  <c r="B20"/>
  <c r="M19"/>
  <c r="L19"/>
  <c r="K19"/>
  <c r="J19"/>
  <c r="I19"/>
  <c r="H19"/>
  <c r="G19"/>
  <c r="F19"/>
  <c r="E19"/>
  <c r="D19"/>
  <c r="C19"/>
  <c r="B19"/>
  <c r="M18"/>
  <c r="L18"/>
  <c r="K18"/>
  <c r="J18"/>
  <c r="I18"/>
  <c r="H18"/>
  <c r="G18"/>
  <c r="F18"/>
  <c r="E18"/>
  <c r="D18"/>
  <c r="C18"/>
  <c r="B18"/>
  <c r="M17"/>
  <c r="L17"/>
  <c r="K17"/>
  <c r="J17"/>
  <c r="I17"/>
  <c r="H17"/>
  <c r="G17"/>
  <c r="F17"/>
  <c r="E17"/>
  <c r="D17"/>
  <c r="C17"/>
  <c r="B17"/>
  <c r="M16"/>
  <c r="L16"/>
  <c r="K16"/>
  <c r="J16"/>
  <c r="I16"/>
  <c r="H16"/>
  <c r="G16"/>
  <c r="F16"/>
  <c r="E16"/>
  <c r="D16"/>
  <c r="C16"/>
  <c r="B16"/>
  <c r="M15"/>
  <c r="L15"/>
  <c r="K15"/>
  <c r="J15"/>
  <c r="I15"/>
  <c r="H15"/>
  <c r="G15"/>
  <c r="F15"/>
  <c r="E15"/>
  <c r="D15"/>
  <c r="C15"/>
  <c r="B15"/>
  <c r="M14"/>
  <c r="L14"/>
  <c r="K14"/>
  <c r="J14"/>
  <c r="I14"/>
  <c r="H14"/>
  <c r="G14"/>
  <c r="F14"/>
  <c r="E14"/>
  <c r="D14"/>
  <c r="C14"/>
  <c r="B14"/>
  <c r="M13"/>
  <c r="L13"/>
  <c r="K13"/>
  <c r="J13"/>
  <c r="I13"/>
  <c r="H13"/>
  <c r="G13"/>
  <c r="F13"/>
  <c r="E13"/>
  <c r="D13"/>
  <c r="C13"/>
  <c r="B13"/>
  <c r="M12"/>
  <c r="L12"/>
  <c r="K12"/>
  <c r="J12"/>
  <c r="I12"/>
  <c r="H12"/>
  <c r="G12"/>
  <c r="F12"/>
  <c r="E12"/>
  <c r="D12"/>
  <c r="C12"/>
  <c r="B12"/>
  <c r="M11"/>
  <c r="L11"/>
  <c r="K11"/>
  <c r="J11"/>
  <c r="I11"/>
  <c r="H11"/>
  <c r="G11"/>
  <c r="F11"/>
  <c r="E11"/>
  <c r="D11"/>
  <c r="C11"/>
  <c r="B11"/>
  <c r="M10"/>
  <c r="L10"/>
  <c r="K10"/>
  <c r="J10"/>
  <c r="I10"/>
  <c r="H10"/>
  <c r="G10"/>
  <c r="F10"/>
  <c r="E10"/>
  <c r="D10"/>
  <c r="C10"/>
  <c r="B10"/>
  <c r="M9"/>
  <c r="L9"/>
  <c r="K9"/>
  <c r="J9"/>
  <c r="I9"/>
  <c r="H9"/>
  <c r="G9"/>
  <c r="F9"/>
  <c r="E9"/>
  <c r="D9"/>
  <c r="C9"/>
  <c r="B9"/>
  <c r="V18" i="5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C3" i="4"/>
  <c r="D3"/>
  <c r="E3"/>
  <c r="F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C4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C6"/>
  <c r="D6"/>
  <c r="E6"/>
  <c r="F6"/>
  <c r="G6"/>
  <c r="H6"/>
  <c r="I6"/>
  <c r="J6"/>
  <c r="K6"/>
  <c r="L6"/>
  <c r="M6"/>
  <c r="N6"/>
  <c r="O6"/>
  <c r="P6"/>
  <c r="Q6"/>
  <c r="R6"/>
  <c r="S6"/>
  <c r="T6"/>
  <c r="U6"/>
  <c r="V6"/>
  <c r="W6"/>
  <c r="X6"/>
  <c r="Y6"/>
  <c r="Z6"/>
  <c r="AA6"/>
  <c r="AB6"/>
  <c r="AC6"/>
  <c r="AD6"/>
  <c r="AE6"/>
  <c r="C7"/>
  <c r="D7"/>
  <c r="E7"/>
  <c r="F7"/>
  <c r="G7"/>
  <c r="H7"/>
  <c r="I7"/>
  <c r="J7"/>
  <c r="K7"/>
  <c r="L7"/>
  <c r="M7"/>
  <c r="N7"/>
  <c r="O7"/>
  <c r="P7"/>
  <c r="Q7"/>
  <c r="R7"/>
  <c r="S7"/>
  <c r="T7"/>
  <c r="U7"/>
  <c r="V7"/>
  <c r="W7"/>
  <c r="X7"/>
  <c r="Y7"/>
  <c r="Z7"/>
  <c r="AA7"/>
  <c r="AB7"/>
  <c r="AC7"/>
  <c r="AD7"/>
  <c r="AE7"/>
  <c r="C8"/>
  <c r="D8"/>
  <c r="E8"/>
  <c r="F8"/>
  <c r="G8"/>
  <c r="H8"/>
  <c r="I8"/>
  <c r="J8"/>
  <c r="K8"/>
  <c r="L8"/>
  <c r="M8"/>
  <c r="N8"/>
  <c r="O8"/>
  <c r="P8"/>
  <c r="Q8"/>
  <c r="R8"/>
  <c r="S8"/>
  <c r="T8"/>
  <c r="U8"/>
  <c r="V8"/>
  <c r="W8"/>
  <c r="X8"/>
  <c r="Y8"/>
  <c r="Z8"/>
  <c r="AA8"/>
  <c r="AB8"/>
  <c r="AC8"/>
  <c r="AD8"/>
  <c r="AE8"/>
  <c r="C9"/>
  <c r="D9"/>
  <c r="E9"/>
  <c r="F9"/>
  <c r="G9"/>
  <c r="H9"/>
  <c r="I9"/>
  <c r="J9"/>
  <c r="K9"/>
  <c r="L9"/>
  <c r="M9"/>
  <c r="N9"/>
  <c r="O9"/>
  <c r="P9"/>
  <c r="Q9"/>
  <c r="R9"/>
  <c r="S9"/>
  <c r="T9"/>
  <c r="U9"/>
  <c r="V9"/>
  <c r="W9"/>
  <c r="X9"/>
  <c r="Y9"/>
  <c r="Z9"/>
  <c r="AA9"/>
  <c r="AB9"/>
  <c r="AC9"/>
  <c r="AD9"/>
  <c r="AE9"/>
  <c r="C10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W10"/>
  <c r="X10"/>
  <c r="Y10"/>
  <c r="Z10"/>
  <c r="AA10"/>
  <c r="AB10"/>
  <c r="AC10"/>
  <c r="AD10"/>
  <c r="AE10"/>
  <c r="C11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W11"/>
  <c r="X11"/>
  <c r="Y11"/>
  <c r="Z11"/>
  <c r="AA11"/>
  <c r="AB11"/>
  <c r="AC11"/>
  <c r="AD11"/>
  <c r="AE11"/>
  <c r="C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W12"/>
  <c r="X12"/>
  <c r="Y12"/>
  <c r="Z12"/>
  <c r="AA12"/>
  <c r="AB12"/>
  <c r="AC12"/>
  <c r="AD12"/>
  <c r="AE12"/>
  <c r="C13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W13"/>
  <c r="X13"/>
  <c r="Y13"/>
  <c r="Z13"/>
  <c r="AA13"/>
  <c r="AB13"/>
  <c r="AC13"/>
  <c r="AD13"/>
  <c r="AE13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W14"/>
  <c r="X14"/>
  <c r="Y14"/>
  <c r="Z14"/>
  <c r="AA14"/>
  <c r="AB14"/>
  <c r="AC14"/>
  <c r="AD14"/>
  <c r="AE14"/>
  <c r="C15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W15"/>
  <c r="X15"/>
  <c r="Y15"/>
  <c r="Z15"/>
  <c r="AA15"/>
  <c r="AB15"/>
  <c r="AC15"/>
  <c r="AD15"/>
  <c r="AE15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W16"/>
  <c r="X16"/>
  <c r="Y16"/>
  <c r="Z16"/>
  <c r="AA16"/>
  <c r="AB16"/>
  <c r="AC16"/>
  <c r="AD16"/>
  <c r="AE16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W17"/>
  <c r="X17"/>
  <c r="Y17"/>
  <c r="Z17"/>
  <c r="AA17"/>
  <c r="AB17"/>
  <c r="AC17"/>
  <c r="AD17"/>
  <c r="AE17"/>
  <c r="B4"/>
  <c r="B5"/>
  <c r="B6"/>
  <c r="B7"/>
  <c r="B8"/>
  <c r="B9"/>
  <c r="B10"/>
  <c r="B11"/>
  <c r="B12"/>
  <c r="B13"/>
  <c r="B14"/>
  <c r="B15"/>
  <c r="B16"/>
  <c r="B17"/>
  <c r="B3"/>
  <c r="C4" i="3"/>
  <c r="D4"/>
  <c r="E4"/>
  <c r="F4"/>
  <c r="G4"/>
  <c r="H4"/>
  <c r="I4"/>
  <c r="J4"/>
  <c r="K4"/>
  <c r="L4"/>
  <c r="M4"/>
  <c r="N4"/>
  <c r="O4"/>
  <c r="P4"/>
  <c r="Q4"/>
  <c r="R4"/>
  <c r="S4"/>
  <c r="T4"/>
  <c r="U4"/>
  <c r="V4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C6"/>
  <c r="D6"/>
  <c r="E6"/>
  <c r="F6"/>
  <c r="G6"/>
  <c r="H6"/>
  <c r="I6"/>
  <c r="J6"/>
  <c r="K6"/>
  <c r="L6"/>
  <c r="M6"/>
  <c r="N6"/>
  <c r="O6"/>
  <c r="P6"/>
  <c r="Q6"/>
  <c r="R6"/>
  <c r="S6"/>
  <c r="T6"/>
  <c r="U6"/>
  <c r="V6"/>
  <c r="C7"/>
  <c r="D7"/>
  <c r="E7"/>
  <c r="F7"/>
  <c r="G7"/>
  <c r="H7"/>
  <c r="I7"/>
  <c r="J7"/>
  <c r="K7"/>
  <c r="L7"/>
  <c r="M7"/>
  <c r="N7"/>
  <c r="O7"/>
  <c r="P7"/>
  <c r="Q7"/>
  <c r="R7"/>
  <c r="S7"/>
  <c r="T7"/>
  <c r="U7"/>
  <c r="V7"/>
  <c r="C8"/>
  <c r="D8"/>
  <c r="E8"/>
  <c r="F8"/>
  <c r="G8"/>
  <c r="H8"/>
  <c r="I8"/>
  <c r="J8"/>
  <c r="K8"/>
  <c r="L8"/>
  <c r="M8"/>
  <c r="N8"/>
  <c r="O8"/>
  <c r="P8"/>
  <c r="Q8"/>
  <c r="R8"/>
  <c r="S8"/>
  <c r="T8"/>
  <c r="U8"/>
  <c r="V8"/>
  <c r="C9"/>
  <c r="D9"/>
  <c r="E9"/>
  <c r="F9"/>
  <c r="G9"/>
  <c r="H9"/>
  <c r="I9"/>
  <c r="J9"/>
  <c r="K9"/>
  <c r="L9"/>
  <c r="M9"/>
  <c r="N9"/>
  <c r="O9"/>
  <c r="P9"/>
  <c r="Q9"/>
  <c r="R9"/>
  <c r="S9"/>
  <c r="T9"/>
  <c r="U9"/>
  <c r="V9"/>
  <c r="C10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C11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C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C13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C15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C18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B5"/>
  <c r="B6"/>
  <c r="B7"/>
  <c r="B8"/>
  <c r="B9"/>
  <c r="B10"/>
  <c r="B11"/>
  <c r="B12"/>
  <c r="B13"/>
  <c r="B14"/>
  <c r="B15"/>
  <c r="B16"/>
  <c r="B17"/>
  <c r="B18"/>
  <c r="B4"/>
  <c r="C4" i="2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C6"/>
  <c r="D6"/>
  <c r="E6"/>
  <c r="F6"/>
  <c r="G6"/>
  <c r="H6"/>
  <c r="I6"/>
  <c r="J6"/>
  <c r="K6"/>
  <c r="L6"/>
  <c r="M6"/>
  <c r="N6"/>
  <c r="O6"/>
  <c r="P6"/>
  <c r="Q6"/>
  <c r="R6"/>
  <c r="S6"/>
  <c r="T6"/>
  <c r="U6"/>
  <c r="V6"/>
  <c r="W6"/>
  <c r="X6"/>
  <c r="Y6"/>
  <c r="Z6"/>
  <c r="C7"/>
  <c r="D7"/>
  <c r="E7"/>
  <c r="F7"/>
  <c r="G7"/>
  <c r="H7"/>
  <c r="I7"/>
  <c r="J7"/>
  <c r="K7"/>
  <c r="L7"/>
  <c r="M7"/>
  <c r="N7"/>
  <c r="O7"/>
  <c r="P7"/>
  <c r="Q7"/>
  <c r="R7"/>
  <c r="S7"/>
  <c r="T7"/>
  <c r="U7"/>
  <c r="V7"/>
  <c r="W7"/>
  <c r="X7"/>
  <c r="Y7"/>
  <c r="Z7"/>
  <c r="C8"/>
  <c r="D8"/>
  <c r="E8"/>
  <c r="F8"/>
  <c r="G8"/>
  <c r="H8"/>
  <c r="I8"/>
  <c r="J8"/>
  <c r="K8"/>
  <c r="L8"/>
  <c r="M8"/>
  <c r="N8"/>
  <c r="O8"/>
  <c r="P8"/>
  <c r="Q8"/>
  <c r="R8"/>
  <c r="S8"/>
  <c r="T8"/>
  <c r="U8"/>
  <c r="V8"/>
  <c r="W8"/>
  <c r="X8"/>
  <c r="Y8"/>
  <c r="Z8"/>
  <c r="C9"/>
  <c r="D9"/>
  <c r="E9"/>
  <c r="F9"/>
  <c r="G9"/>
  <c r="H9"/>
  <c r="I9"/>
  <c r="J9"/>
  <c r="K9"/>
  <c r="L9"/>
  <c r="M9"/>
  <c r="N9"/>
  <c r="O9"/>
  <c r="P9"/>
  <c r="Q9"/>
  <c r="R9"/>
  <c r="S9"/>
  <c r="T9"/>
  <c r="U9"/>
  <c r="V9"/>
  <c r="W9"/>
  <c r="X9"/>
  <c r="Y9"/>
  <c r="Z9"/>
  <c r="C10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W10"/>
  <c r="X10"/>
  <c r="Y10"/>
  <c r="Z10"/>
  <c r="C11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W11"/>
  <c r="X11"/>
  <c r="Y11"/>
  <c r="Z11"/>
  <c r="C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W12"/>
  <c r="X12"/>
  <c r="Y12"/>
  <c r="Z12"/>
  <c r="C13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W13"/>
  <c r="X13"/>
  <c r="Y13"/>
  <c r="Z13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W14"/>
  <c r="X14"/>
  <c r="Y14"/>
  <c r="Z14"/>
  <c r="C15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W15"/>
  <c r="X15"/>
  <c r="Y15"/>
  <c r="Z15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W16"/>
  <c r="X16"/>
  <c r="Y16"/>
  <c r="Z16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W17"/>
  <c r="X17"/>
  <c r="Y17"/>
  <c r="Z17"/>
  <c r="C18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W18"/>
  <c r="X18"/>
  <c r="Y18"/>
  <c r="Z18"/>
  <c r="B5"/>
  <c r="B6"/>
  <c r="B7"/>
  <c r="B8"/>
  <c r="B9"/>
  <c r="B10"/>
  <c r="B11"/>
  <c r="B12"/>
  <c r="B13"/>
  <c r="B14"/>
  <c r="B15"/>
  <c r="B16"/>
  <c r="B17"/>
  <c r="B18"/>
  <c r="B4"/>
  <c r="B18" i="1"/>
  <c r="B5"/>
  <c r="B6"/>
  <c r="B7"/>
  <c r="B8"/>
  <c r="B9"/>
  <c r="B10"/>
  <c r="B11"/>
  <c r="B12"/>
  <c r="B13"/>
  <c r="B14"/>
  <c r="B15"/>
  <c r="B16"/>
  <c r="B17"/>
  <c r="B4"/>
  <c r="C5"/>
  <c r="C6"/>
  <c r="C7"/>
  <c r="C8"/>
  <c r="C9"/>
  <c r="C10"/>
  <c r="C11"/>
  <c r="C12"/>
  <c r="C13"/>
  <c r="C14"/>
  <c r="C15"/>
  <c r="C16"/>
  <c r="C17"/>
  <c r="C18"/>
  <c r="C4"/>
  <c r="D5"/>
  <c r="D6"/>
  <c r="D7"/>
  <c r="D8"/>
  <c r="D9"/>
  <c r="D10"/>
  <c r="D11"/>
  <c r="D12"/>
  <c r="D13"/>
  <c r="D14"/>
  <c r="D15"/>
  <c r="D16"/>
  <c r="D17"/>
  <c r="D18"/>
  <c r="D4"/>
  <c r="E5"/>
  <c r="E6"/>
  <c r="E7"/>
  <c r="E8"/>
  <c r="E9"/>
  <c r="E10"/>
  <c r="E11"/>
  <c r="E12"/>
  <c r="E13"/>
  <c r="E14"/>
  <c r="E15"/>
  <c r="E16"/>
  <c r="E17"/>
  <c r="E18"/>
  <c r="E4"/>
  <c r="F4"/>
  <c r="F5"/>
  <c r="F6"/>
  <c r="F7"/>
  <c r="F8"/>
  <c r="F9"/>
  <c r="F10"/>
  <c r="F11"/>
  <c r="F12"/>
  <c r="F13"/>
  <c r="F14"/>
  <c r="F15"/>
  <c r="F16"/>
  <c r="F17"/>
  <c r="F18"/>
  <c r="J4"/>
  <c r="K4"/>
  <c r="L4"/>
  <c r="M4"/>
  <c r="N4"/>
  <c r="O4"/>
  <c r="P4"/>
  <c r="Q4"/>
  <c r="R4"/>
  <c r="S4"/>
  <c r="T4"/>
  <c r="U4"/>
  <c r="V4"/>
  <c r="W4"/>
  <c r="X4"/>
  <c r="J5"/>
  <c r="K5"/>
  <c r="L5"/>
  <c r="M5"/>
  <c r="N5"/>
  <c r="O5"/>
  <c r="P5"/>
  <c r="Q5"/>
  <c r="R5"/>
  <c r="S5"/>
  <c r="T5"/>
  <c r="U5"/>
  <c r="V5"/>
  <c r="W5"/>
  <c r="X5"/>
  <c r="J6"/>
  <c r="K6"/>
  <c r="L6"/>
  <c r="M6"/>
  <c r="N6"/>
  <c r="O6"/>
  <c r="P6"/>
  <c r="Q6"/>
  <c r="R6"/>
  <c r="S6"/>
  <c r="T6"/>
  <c r="U6"/>
  <c r="V6"/>
  <c r="W6"/>
  <c r="X6"/>
  <c r="J7"/>
  <c r="K7"/>
  <c r="L7"/>
  <c r="M7"/>
  <c r="N7"/>
  <c r="O7"/>
  <c r="P7"/>
  <c r="Q7"/>
  <c r="R7"/>
  <c r="S7"/>
  <c r="T7"/>
  <c r="U7"/>
  <c r="V7"/>
  <c r="W7"/>
  <c r="X7"/>
  <c r="J8"/>
  <c r="K8"/>
  <c r="L8"/>
  <c r="M8"/>
  <c r="N8"/>
  <c r="O8"/>
  <c r="P8"/>
  <c r="Q8"/>
  <c r="R8"/>
  <c r="S8"/>
  <c r="T8"/>
  <c r="U8"/>
  <c r="V8"/>
  <c r="W8"/>
  <c r="X8"/>
  <c r="J9"/>
  <c r="K9"/>
  <c r="L9"/>
  <c r="M9"/>
  <c r="N9"/>
  <c r="O9"/>
  <c r="P9"/>
  <c r="Q9"/>
  <c r="R9"/>
  <c r="S9"/>
  <c r="T9"/>
  <c r="U9"/>
  <c r="V9"/>
  <c r="W9"/>
  <c r="X9"/>
  <c r="J10"/>
  <c r="K10"/>
  <c r="L10"/>
  <c r="M10"/>
  <c r="N10"/>
  <c r="O10"/>
  <c r="P10"/>
  <c r="Q10"/>
  <c r="R10"/>
  <c r="S10"/>
  <c r="T10"/>
  <c r="U10"/>
  <c r="V10"/>
  <c r="W10"/>
  <c r="X10"/>
  <c r="J11"/>
  <c r="K11"/>
  <c r="L11"/>
  <c r="M11"/>
  <c r="N11"/>
  <c r="O11"/>
  <c r="P11"/>
  <c r="Q11"/>
  <c r="R11"/>
  <c r="S11"/>
  <c r="T11"/>
  <c r="U11"/>
  <c r="V11"/>
  <c r="W11"/>
  <c r="X11"/>
  <c r="J12"/>
  <c r="K12"/>
  <c r="L12"/>
  <c r="M12"/>
  <c r="N12"/>
  <c r="O12"/>
  <c r="P12"/>
  <c r="Q12"/>
  <c r="R12"/>
  <c r="S12"/>
  <c r="T12"/>
  <c r="U12"/>
  <c r="V12"/>
  <c r="W12"/>
  <c r="X12"/>
  <c r="J13"/>
  <c r="K13"/>
  <c r="L13"/>
  <c r="M13"/>
  <c r="N13"/>
  <c r="O13"/>
  <c r="P13"/>
  <c r="Q13"/>
  <c r="R13"/>
  <c r="S13"/>
  <c r="T13"/>
  <c r="U13"/>
  <c r="V13"/>
  <c r="W13"/>
  <c r="X13"/>
  <c r="J14"/>
  <c r="K14"/>
  <c r="L14"/>
  <c r="M14"/>
  <c r="N14"/>
  <c r="O14"/>
  <c r="P14"/>
  <c r="Q14"/>
  <c r="R14"/>
  <c r="S14"/>
  <c r="T14"/>
  <c r="U14"/>
  <c r="V14"/>
  <c r="W14"/>
  <c r="X14"/>
  <c r="J15"/>
  <c r="K15"/>
  <c r="L15"/>
  <c r="M15"/>
  <c r="N15"/>
  <c r="O15"/>
  <c r="P15"/>
  <c r="Q15"/>
  <c r="R15"/>
  <c r="S15"/>
  <c r="T15"/>
  <c r="U15"/>
  <c r="V15"/>
  <c r="W15"/>
  <c r="X15"/>
  <c r="J16"/>
  <c r="K16"/>
  <c r="L16"/>
  <c r="M16"/>
  <c r="N16"/>
  <c r="O16"/>
  <c r="P16"/>
  <c r="Q16"/>
  <c r="R16"/>
  <c r="S16"/>
  <c r="T16"/>
  <c r="U16"/>
  <c r="V16"/>
  <c r="W16"/>
  <c r="X16"/>
  <c r="J17"/>
  <c r="K17"/>
  <c r="L17"/>
  <c r="M17"/>
  <c r="N17"/>
  <c r="O17"/>
  <c r="P17"/>
  <c r="Q17"/>
  <c r="R17"/>
  <c r="S17"/>
  <c r="T17"/>
  <c r="U17"/>
  <c r="V17"/>
  <c r="W17"/>
  <c r="X17"/>
  <c r="J18"/>
  <c r="K18"/>
  <c r="L18"/>
  <c r="M18"/>
  <c r="N18"/>
  <c r="O18"/>
  <c r="P18"/>
  <c r="Q18"/>
  <c r="R18"/>
  <c r="S18"/>
  <c r="T18"/>
  <c r="U18"/>
  <c r="V18"/>
  <c r="W18"/>
  <c r="X18"/>
  <c r="I5"/>
  <c r="I6"/>
  <c r="I7"/>
  <c r="I8"/>
  <c r="I9"/>
  <c r="I10"/>
  <c r="I11"/>
  <c r="I12"/>
  <c r="I13"/>
  <c r="I14"/>
  <c r="I15"/>
  <c r="I16"/>
  <c r="I17"/>
  <c r="I18"/>
  <c r="I4"/>
  <c r="H6"/>
  <c r="H7"/>
  <c r="H8"/>
  <c r="H9"/>
  <c r="H10"/>
  <c r="H11"/>
  <c r="H12"/>
  <c r="H13"/>
  <c r="H14"/>
  <c r="H15"/>
  <c r="H16"/>
  <c r="H17"/>
  <c r="H18"/>
  <c r="H5"/>
  <c r="H4"/>
  <c r="G5"/>
  <c r="G6"/>
  <c r="G7"/>
  <c r="G8"/>
  <c r="G9"/>
  <c r="G10"/>
  <c r="G11"/>
  <c r="G12"/>
  <c r="G13"/>
  <c r="G14"/>
  <c r="G15"/>
  <c r="G16"/>
  <c r="G17"/>
  <c r="G18"/>
  <c r="G4"/>
</calcChain>
</file>

<file path=xl/sharedStrings.xml><?xml version="1.0" encoding="utf-8"?>
<sst xmlns="http://schemas.openxmlformats.org/spreadsheetml/2006/main" count="325" uniqueCount="111">
  <si>
    <t>KG \ mcg/Kg/Min</t>
  </si>
  <si>
    <t>ml/h</t>
  </si>
  <si>
    <t>Doses aceitáveis de noradrenalina</t>
  </si>
  <si>
    <t>Dose terapêutica de Nipride</t>
  </si>
  <si>
    <t>1mcg/Kg/min a 5mcg/Kg/min</t>
  </si>
  <si>
    <t>MIDAZOLAM 5MG/ML - 50ML "PURO"; Diluído: 30ML (3 AMPOLAS) + 120ML SG 5% IV EM BIC = 1MG/ML : 1000MCG/ML; sedação 1mcg/kg/min a 3mcg/kg/min</t>
  </si>
  <si>
    <t>FENTANIL 50MCG/ML = Fentanil 20ML (1000MCG) + 80ML SG 5% OU SF 0,9% IV EM BIC ACM = 1000mcg em 100ml ou 10mcg/ml; Analgesia para um paciente ventilado mecanicamente, UTI: Dose recomendada: 0,7 a 10mcg/kg/hora de infusão contínua</t>
  </si>
  <si>
    <t>Faixa Analgesia e Sedação</t>
  </si>
  <si>
    <t>Faixa sedação do Midazolam em VM</t>
  </si>
  <si>
    <t>MIDAZOLAM 5MG/ML - 50ML "PURO";  sedação 1mcg/kg/min a 3mcg/kg/min</t>
  </si>
  <si>
    <t>FENTANIL</t>
  </si>
  <si>
    <t>DOBUTAMINA</t>
  </si>
  <si>
    <t>Tabela 1</t>
  </si>
  <si>
    <t xml:space="preserve">Dobutamina 20ml + 230ml SF 0,9% </t>
  </si>
  <si>
    <t>(=250mg / 250ml)</t>
  </si>
  <si>
    <t>(=1000mcg/ml)</t>
  </si>
  <si>
    <t>Ampola</t>
  </si>
  <si>
    <t>DOBUTAMINA 250 mg/20 mL</t>
  </si>
  <si>
    <t>Tabela 2</t>
  </si>
  <si>
    <t>Dobutamina 40ml + 210 ml SF 0,9%</t>
  </si>
  <si>
    <t>(=500mg/250ml)</t>
  </si>
  <si>
    <t>(=2000mcg/ml)</t>
  </si>
  <si>
    <t>Tabela 3</t>
  </si>
  <si>
    <t>Dobutamina 60ml + 190ml SF 0,9%</t>
  </si>
  <si>
    <t>(=750mg/250ml)</t>
  </si>
  <si>
    <t>(=3000mcg/ml)</t>
  </si>
  <si>
    <t>Tabela 4</t>
  </si>
  <si>
    <t>Dobutamina 80ml + 170ml SF 0,9%</t>
  </si>
  <si>
    <t>(=1000mg/250ml)</t>
  </si>
  <si>
    <t>(=4000mcg/ml)</t>
  </si>
  <si>
    <t>Concentração máxima</t>
  </si>
  <si>
    <t>Tabela 5</t>
  </si>
  <si>
    <t>Dobutamina 60ml "puro"</t>
  </si>
  <si>
    <t>(=750mg/60ml)</t>
  </si>
  <si>
    <t>(=12.500mcg/ml)</t>
  </si>
  <si>
    <r>
      <rPr>
        <b/>
        <sz val="11"/>
        <color theme="1"/>
        <rFont val="Wingdings"/>
        <charset val="2"/>
      </rPr>
      <t>NNN</t>
    </r>
    <r>
      <rPr>
        <b/>
        <sz val="11"/>
        <color theme="1"/>
        <rFont val="Calibri"/>
        <family val="2"/>
        <scheme val="minor"/>
      </rPr>
      <t>Não usar</t>
    </r>
    <r>
      <rPr>
        <b/>
        <sz val="11"/>
        <color theme="1"/>
        <rFont val="Wingdings"/>
        <charset val="2"/>
      </rPr>
      <t>EEE</t>
    </r>
  </si>
  <si>
    <t>Peso\mcg/kg/min</t>
  </si>
  <si>
    <t>Zona terapêutica</t>
  </si>
  <si>
    <t>MIDAZOLAM (DILUÍDO)</t>
  </si>
  <si>
    <t>NIPRIDE</t>
  </si>
  <si>
    <t>NORADRENALINA</t>
  </si>
  <si>
    <t>DEXMEDETOMIDINA</t>
  </si>
  <si>
    <t>Nome Comercial / Apresentação</t>
  </si>
  <si>
    <t xml:space="preserve">Precedex 200mcg/2mL / Frasco ampola </t>
  </si>
  <si>
    <t>Classe Terapêutica</t>
  </si>
  <si>
    <t>Sedativo, Agonista Alfa-2 Adrenérgico</t>
  </si>
  <si>
    <t>0,2 a 0,7 mcg/kg/h</t>
  </si>
  <si>
    <t xml:space="preserve">DOSES: </t>
  </si>
  <si>
    <t>1,0 mcg/kg por 10 minutos</t>
  </si>
  <si>
    <t>ATAQUE-&gt;</t>
  </si>
  <si>
    <t>MANUTENÇÃO:</t>
  </si>
  <si>
    <t>Diluição: diluir cada 2 mL do medicamento em 48 mL (qsp 50mL) de solução fisiológica 0,9%</t>
  </si>
  <si>
    <t>Concentração: 4 mcg/mL</t>
  </si>
  <si>
    <t>FAIXA TERAPÊUTICA</t>
  </si>
  <si>
    <t>Kg</t>
  </si>
  <si>
    <t>ml/H</t>
  </si>
  <si>
    <r>
      <rPr>
        <sz val="11"/>
        <color theme="1"/>
        <rFont val="Wingdings"/>
        <charset val="2"/>
      </rPr>
      <t>EE</t>
    </r>
    <r>
      <rPr>
        <sz val="11"/>
        <color theme="1"/>
        <rFont val="Calibri"/>
        <family val="2"/>
        <scheme val="minor"/>
      </rPr>
      <t>mcg</t>
    </r>
  </si>
  <si>
    <t>PROPOFOL</t>
  </si>
  <si>
    <t>Propofol 1%</t>
  </si>
  <si>
    <t>1g / 100ml</t>
  </si>
  <si>
    <t>1000mg/100ml</t>
  </si>
  <si>
    <t>FFF</t>
  </si>
  <si>
    <t>Indução:</t>
  </si>
  <si>
    <t>1,0 a 2,5mg/Kg</t>
  </si>
  <si>
    <t>0,3 a 4,0mg/kg/h</t>
  </si>
  <si>
    <t>Manutenção:</t>
  </si>
  <si>
    <t>indução</t>
  </si>
  <si>
    <t>10mg/ml</t>
  </si>
  <si>
    <t>mL</t>
  </si>
  <si>
    <t>MANUTENÇÃO</t>
  </si>
  <si>
    <t>Infusão IV Manutenção: 0,3 a 0,6 mg/kg/hora.</t>
  </si>
  <si>
    <t>Atracúrio 10mg/mL = Ampola 2,5mL = 25mg ||| Diluir  4 ampolas 100mg em  90ml SF 0,9%</t>
  </si>
  <si>
    <t>indução: 0,3 a 0,6 mg/kg</t>
  </si>
  <si>
    <t>ATRACURIO</t>
  </si>
  <si>
    <t>MIDAZOLAM - "PURO"</t>
  </si>
  <si>
    <t>ESMOLOL</t>
  </si>
  <si>
    <t>Apresentação  - 2500mg/10ml</t>
  </si>
  <si>
    <t xml:space="preserve">Solução: 2500mg/500ml = </t>
  </si>
  <si>
    <t>5000mcg/ml</t>
  </si>
  <si>
    <t>5mg/ml =</t>
  </si>
  <si>
    <t>Diluição (1): 1 ampola 10ml + 490ml SF ou SG 5%</t>
  </si>
  <si>
    <t>Diluição (2): 2 ampolas 20ml + 480ml SF ou SG 5%</t>
  </si>
  <si>
    <t xml:space="preserve">Solução: 5000mg/500ml = </t>
  </si>
  <si>
    <t xml:space="preserve">10mg/ml = </t>
  </si>
  <si>
    <t>10000mcg/ml</t>
  </si>
  <si>
    <t>Máxima concentração</t>
  </si>
  <si>
    <t>Dose de ataque: 1mg/kg a 1,5mg/kg em 10 minutos</t>
  </si>
  <si>
    <t>Manutenção: 50mcg/Kg/min a 200mcg/Kg/min</t>
  </si>
  <si>
    <t>Dose máxima: 300mcg/Kg/min</t>
  </si>
  <si>
    <t>Taquicardia supraventricular / Taquicardia atrial</t>
  </si>
  <si>
    <t>Diluir a medicação; em seguida, separar Quantos ml da diluição (1):</t>
  </si>
  <si>
    <t>mcg</t>
  </si>
  <si>
    <t>Dose de Ataque (Diluição 1)</t>
  </si>
  <si>
    <t>Dose de Manutenção (Diluição 1)</t>
  </si>
  <si>
    <t>Dose de Ataque (Diluição 2)</t>
  </si>
  <si>
    <t>Dose de Manutenção (Diluição 2)</t>
  </si>
  <si>
    <t>mL/H</t>
  </si>
  <si>
    <t>Distensão abdominal: Inicial 5U, IM ou SC, dose única e manutenção de 10U, IM ou SC, a cada 3-4h;</t>
  </si>
  <si>
    <t>Radiografia abdominal: 10U, IM, 2 doses únicas em 2h e em 30min antes da exposição;</t>
  </si>
  <si>
    <t>Diabetes insipidus: 5-10U, IM ou SC, 2-3 vezes/dia ou 0,001-0,003U/kg/hora, EV infusão contínua;</t>
  </si>
  <si>
    <t>Hemorragia gastrintestinal: 0,2U/min, EV infusão contínua, aumentando a cada hora até 1U/min. Se necessário, 20U, EV em bolus, 20-30min. Após 12h de controle da hemorragia, a dose pode ser reduzida pela metade e interrompida em 12-24h;</t>
  </si>
  <si>
    <t>Choque séptico: 0,01-0,04U/min, EV infusão contínua, por 24-96h;</t>
  </si>
  <si>
    <t>Ressucitação cardíaca: 40U, EV em bolus, dose única. 1</t>
  </si>
  <si>
    <t>VASOPRESSINA</t>
  </si>
  <si>
    <t>Associá-la apenas no choque séptico refratário (já com
catecolamina), objetivando alcançar PAM ≥ 65mmHg</t>
  </si>
  <si>
    <t>Ampola = 20Ui/ml</t>
  </si>
  <si>
    <t xml:space="preserve">Diluição: 1ml + 99mL SF 0,9% = </t>
  </si>
  <si>
    <t>0,2Ui/ml</t>
  </si>
  <si>
    <t>Dose</t>
  </si>
  <si>
    <t>Infusão:</t>
  </si>
  <si>
    <t>Choque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</si>
</sst>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9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rgb="FF006100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sz val="18"/>
      <color rgb="FF0061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Wingdings"/>
      <charset val="2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333333"/>
      <name val="Arial"/>
      <family val="2"/>
    </font>
    <font>
      <b/>
      <sz val="28"/>
      <color theme="1"/>
      <name val="Calibri"/>
      <family val="2"/>
      <scheme val="minor"/>
    </font>
    <font>
      <sz val="11"/>
      <color theme="1"/>
      <name val="Wingdings"/>
      <charset val="2"/>
    </font>
    <font>
      <sz val="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4" borderId="0" applyNumberFormat="0" applyBorder="0" applyAlignment="0" applyProtection="0"/>
    <xf numFmtId="0" fontId="11" fillId="5" borderId="0" applyNumberFormat="0" applyBorder="0" applyAlignment="0" applyProtection="0"/>
  </cellStyleXfs>
  <cellXfs count="161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3" xfId="0" applyBorder="1"/>
    <xf numFmtId="0" fontId="0" fillId="0" borderId="5" xfId="0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0" fontId="0" fillId="0" borderId="7" xfId="0" applyBorder="1"/>
    <xf numFmtId="0" fontId="1" fillId="0" borderId="8" xfId="0" applyFont="1" applyBorder="1" applyAlignment="1">
      <alignment horizontal="center" vertical="center"/>
    </xf>
    <xf numFmtId="0" fontId="0" fillId="0" borderId="9" xfId="0" applyBorder="1"/>
    <xf numFmtId="0" fontId="0" fillId="0" borderId="1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/>
    </xf>
    <xf numFmtId="0" fontId="0" fillId="0" borderId="0" xfId="0" applyBorder="1"/>
    <xf numFmtId="164" fontId="0" fillId="0" borderId="4" xfId="0" applyNumberFormat="1" applyFill="1" applyBorder="1" applyAlignment="1">
      <alignment horizontal="center" vertical="center"/>
    </xf>
    <xf numFmtId="2" fontId="2" fillId="0" borderId="6" xfId="0" applyNumberFormat="1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5" xfId="0" applyBorder="1"/>
    <xf numFmtId="2" fontId="2" fillId="0" borderId="16" xfId="0" applyNumberFormat="1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" xfId="0" applyBorder="1"/>
    <xf numFmtId="0" fontId="0" fillId="0" borderId="2" xfId="0" applyBorder="1"/>
    <xf numFmtId="0" fontId="0" fillId="0" borderId="21" xfId="0" applyBorder="1"/>
    <xf numFmtId="165" fontId="0" fillId="0" borderId="4" xfId="0" applyNumberFormat="1" applyFill="1" applyBorder="1" applyAlignment="1">
      <alignment horizontal="center" vertical="center"/>
    </xf>
    <xf numFmtId="164" fontId="7" fillId="0" borderId="4" xfId="0" applyNumberFormat="1" applyFont="1" applyFill="1" applyBorder="1" applyAlignment="1">
      <alignment horizontal="center" vertical="center"/>
    </xf>
    <xf numFmtId="164" fontId="8" fillId="0" borderId="4" xfId="0" applyNumberFormat="1" applyFont="1" applyFill="1" applyBorder="1" applyAlignment="1">
      <alignment horizontal="center" vertical="center"/>
    </xf>
    <xf numFmtId="164" fontId="8" fillId="0" borderId="14" xfId="0" applyNumberFormat="1" applyFont="1" applyFill="1" applyBorder="1" applyAlignment="1">
      <alignment horizontal="center" vertical="center"/>
    </xf>
    <xf numFmtId="164" fontId="7" fillId="3" borderId="4" xfId="0" applyNumberFormat="1" applyFont="1" applyFill="1" applyBorder="1" applyAlignment="1">
      <alignment horizontal="center" vertical="center"/>
    </xf>
    <xf numFmtId="164" fontId="7" fillId="2" borderId="4" xfId="0" applyNumberFormat="1" applyFont="1" applyFill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164" fontId="7" fillId="0" borderId="23" xfId="0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3" fillId="0" borderId="10" xfId="0" applyFont="1" applyBorder="1" applyAlignment="1">
      <alignment horizontal="right"/>
    </xf>
    <xf numFmtId="0" fontId="0" fillId="0" borderId="11" xfId="0" applyBorder="1"/>
    <xf numFmtId="0" fontId="0" fillId="0" borderId="12" xfId="0" applyBorder="1"/>
    <xf numFmtId="0" fontId="15" fillId="0" borderId="0" xfId="0" applyFont="1"/>
    <xf numFmtId="0" fontId="0" fillId="7" borderId="0" xfId="0" applyFill="1"/>
    <xf numFmtId="0" fontId="0" fillId="7" borderId="0" xfId="0" applyFill="1" applyAlignment="1">
      <alignment horizontal="center" vertical="center"/>
    </xf>
    <xf numFmtId="0" fontId="0" fillId="8" borderId="0" xfId="0" applyFill="1"/>
    <xf numFmtId="0" fontId="0" fillId="8" borderId="0" xfId="0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/>
    <xf numFmtId="0" fontId="21" fillId="0" borderId="0" xfId="0" applyFont="1"/>
    <xf numFmtId="0" fontId="3" fillId="4" borderId="0" xfId="1" applyAlignment="1">
      <alignment horizontal="center" vertical="center"/>
    </xf>
    <xf numFmtId="0" fontId="0" fillId="0" borderId="0" xfId="0" applyAlignment="1">
      <alignment horizontal="right"/>
    </xf>
    <xf numFmtId="0" fontId="23" fillId="0" borderId="0" xfId="0" applyFont="1"/>
    <xf numFmtId="0" fontId="24" fillId="0" borderId="0" xfId="0" applyFont="1"/>
    <xf numFmtId="0" fontId="0" fillId="0" borderId="0" xfId="0" applyAlignment="1">
      <alignment horizontal="left" vertical="center"/>
    </xf>
    <xf numFmtId="0" fontId="0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164" fontId="18" fillId="0" borderId="2" xfId="0" applyNumberFormat="1" applyFont="1" applyBorder="1" applyAlignment="1">
      <alignment horizontal="center" vertical="center"/>
    </xf>
    <xf numFmtId="0" fontId="4" fillId="4" borderId="10" xfId="1" applyFont="1" applyBorder="1" applyAlignment="1">
      <alignment horizontal="center" vertical="center"/>
    </xf>
    <xf numFmtId="0" fontId="4" fillId="4" borderId="11" xfId="1" applyFont="1" applyBorder="1" applyAlignment="1">
      <alignment horizontal="center" vertical="center"/>
    </xf>
    <xf numFmtId="0" fontId="4" fillId="4" borderId="12" xfId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18" fillId="0" borderId="21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5" fillId="4" borderId="0" xfId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9" fillId="0" borderId="2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6" fillId="4" borderId="0" xfId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6" fillId="4" borderId="0" xfId="1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2" fillId="6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2" fillId="9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22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5" fillId="4" borderId="0" xfId="1" applyFont="1" applyAlignment="1">
      <alignment horizontal="center" vertical="center"/>
    </xf>
    <xf numFmtId="0" fontId="17" fillId="0" borderId="25" xfId="0" applyFont="1" applyBorder="1" applyAlignment="1">
      <alignment horizontal="center" vertical="center" textRotation="255"/>
    </xf>
    <xf numFmtId="0" fontId="17" fillId="0" borderId="26" xfId="0" applyFont="1" applyBorder="1" applyAlignment="1">
      <alignment horizontal="center" vertical="center" textRotation="255"/>
    </xf>
    <xf numFmtId="0" fontId="17" fillId="0" borderId="27" xfId="0" applyFont="1" applyBorder="1" applyAlignment="1">
      <alignment horizontal="center" vertical="center" textRotation="255"/>
    </xf>
    <xf numFmtId="0" fontId="19" fillId="0" borderId="25" xfId="0" applyFont="1" applyBorder="1" applyAlignment="1">
      <alignment horizontal="center" vertical="center" textRotation="255"/>
    </xf>
    <xf numFmtId="0" fontId="19" fillId="0" borderId="26" xfId="0" applyFont="1" applyBorder="1" applyAlignment="1">
      <alignment horizontal="center" vertical="center" textRotation="255"/>
    </xf>
    <xf numFmtId="0" fontId="19" fillId="0" borderId="27" xfId="0" applyFont="1" applyBorder="1" applyAlignment="1">
      <alignment horizontal="center" vertical="center" textRotation="255"/>
    </xf>
    <xf numFmtId="0" fontId="3" fillId="4" borderId="0" xfId="1" applyAlignment="1">
      <alignment horizontal="center" vertical="center"/>
    </xf>
    <xf numFmtId="0" fontId="25" fillId="0" borderId="10" xfId="0" applyFont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7" fillId="4" borderId="0" xfId="1" applyFont="1" applyAlignment="1">
      <alignment horizontal="center"/>
    </xf>
    <xf numFmtId="0" fontId="26" fillId="5" borderId="0" xfId="2" applyFont="1" applyAlignment="1">
      <alignment horizontal="center" wrapText="1"/>
    </xf>
    <xf numFmtId="0" fontId="26" fillId="5" borderId="0" xfId="2" applyFont="1" applyAlignment="1">
      <alignment horizontal="center" vertical="center"/>
    </xf>
    <xf numFmtId="0" fontId="0" fillId="0" borderId="0" xfId="0" applyAlignment="1">
      <alignment horizont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0" fillId="0" borderId="10" xfId="0" applyBorder="1"/>
    <xf numFmtId="0" fontId="1" fillId="0" borderId="25" xfId="0" applyFont="1" applyBorder="1" applyAlignment="1">
      <alignment horizontal="center" vertical="center" textRotation="90"/>
    </xf>
    <xf numFmtId="0" fontId="1" fillId="0" borderId="26" xfId="0" applyFont="1" applyBorder="1" applyAlignment="1">
      <alignment horizontal="center" vertical="center" textRotation="90"/>
    </xf>
    <xf numFmtId="0" fontId="1" fillId="0" borderId="27" xfId="0" applyFont="1" applyBorder="1" applyAlignment="1">
      <alignment horizontal="center" vertical="center" textRotation="90"/>
    </xf>
    <xf numFmtId="0" fontId="0" fillId="12" borderId="0" xfId="0" applyFill="1" applyBorder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0" fontId="0" fillId="11" borderId="0" xfId="0" applyFill="1" applyBorder="1" applyAlignment="1">
      <alignment horizontal="center" vertical="center"/>
    </xf>
    <xf numFmtId="2" fontId="0" fillId="0" borderId="0" xfId="0" applyNumberFormat="1" applyBorder="1" applyAlignment="1">
      <alignment horizontal="center"/>
    </xf>
    <xf numFmtId="0" fontId="0" fillId="0" borderId="0" xfId="0" applyAlignment="1"/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28" fillId="0" borderId="21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/>
  </cellXfs>
  <cellStyles count="3">
    <cellStyle name="Bom" xfId="1" builtinId="26"/>
    <cellStyle name="Neutra" xfId="2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18</xdr:row>
      <xdr:rowOff>57150</xdr:rowOff>
    </xdr:from>
    <xdr:to>
      <xdr:col>18</xdr:col>
      <xdr:colOff>0</xdr:colOff>
      <xdr:row>18</xdr:row>
      <xdr:rowOff>66675</xdr:rowOff>
    </xdr:to>
    <xdr:cxnSp macro="">
      <xdr:nvCxnSpPr>
        <xdr:cNvPr id="3" name="Conector de seta reta 2"/>
        <xdr:cNvCxnSpPr/>
      </xdr:nvCxnSpPr>
      <xdr:spPr>
        <a:xfrm>
          <a:off x="3752850" y="4629150"/>
          <a:ext cx="2990850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681037</xdr:colOff>
      <xdr:row>3</xdr:row>
      <xdr:rowOff>19050</xdr:rowOff>
    </xdr:from>
    <xdr:ext cx="324384" cy="264560"/>
    <xdr:sp macro="" textlink="">
      <xdr:nvSpPr>
        <xdr:cNvPr id="4" name="CaixaDeTexto 3"/>
        <xdr:cNvSpPr txBox="1"/>
      </xdr:nvSpPr>
      <xdr:spPr>
        <a:xfrm>
          <a:off x="681037" y="304800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681037</xdr:colOff>
      <xdr:row>4</xdr:row>
      <xdr:rowOff>17689</xdr:rowOff>
    </xdr:from>
    <xdr:ext cx="324384" cy="264560"/>
    <xdr:sp macro="" textlink="">
      <xdr:nvSpPr>
        <xdr:cNvPr id="5" name="CaixaDeTexto 4"/>
        <xdr:cNvSpPr txBox="1"/>
      </xdr:nvSpPr>
      <xdr:spPr>
        <a:xfrm>
          <a:off x="681037" y="589189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681037</xdr:colOff>
      <xdr:row>5</xdr:row>
      <xdr:rowOff>16328</xdr:rowOff>
    </xdr:from>
    <xdr:ext cx="324384" cy="264560"/>
    <xdr:sp macro="" textlink="">
      <xdr:nvSpPr>
        <xdr:cNvPr id="6" name="CaixaDeTexto 5"/>
        <xdr:cNvSpPr txBox="1"/>
      </xdr:nvSpPr>
      <xdr:spPr>
        <a:xfrm>
          <a:off x="681037" y="873578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681037</xdr:colOff>
      <xdr:row>6</xdr:row>
      <xdr:rowOff>14967</xdr:rowOff>
    </xdr:from>
    <xdr:ext cx="324384" cy="264560"/>
    <xdr:sp macro="" textlink="">
      <xdr:nvSpPr>
        <xdr:cNvPr id="7" name="CaixaDeTexto 6"/>
        <xdr:cNvSpPr txBox="1"/>
      </xdr:nvSpPr>
      <xdr:spPr>
        <a:xfrm>
          <a:off x="681037" y="1157967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681037</xdr:colOff>
      <xdr:row>7</xdr:row>
      <xdr:rowOff>13606</xdr:rowOff>
    </xdr:from>
    <xdr:ext cx="324384" cy="264560"/>
    <xdr:sp macro="" textlink="">
      <xdr:nvSpPr>
        <xdr:cNvPr id="8" name="CaixaDeTexto 7"/>
        <xdr:cNvSpPr txBox="1"/>
      </xdr:nvSpPr>
      <xdr:spPr>
        <a:xfrm>
          <a:off x="681037" y="1442356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681037</xdr:colOff>
      <xdr:row>8</xdr:row>
      <xdr:rowOff>12245</xdr:rowOff>
    </xdr:from>
    <xdr:ext cx="324384" cy="264560"/>
    <xdr:sp macro="" textlink="">
      <xdr:nvSpPr>
        <xdr:cNvPr id="9" name="CaixaDeTexto 8"/>
        <xdr:cNvSpPr txBox="1"/>
      </xdr:nvSpPr>
      <xdr:spPr>
        <a:xfrm>
          <a:off x="681037" y="1726745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681037</xdr:colOff>
      <xdr:row>9</xdr:row>
      <xdr:rowOff>10884</xdr:rowOff>
    </xdr:from>
    <xdr:ext cx="324384" cy="264560"/>
    <xdr:sp macro="" textlink="">
      <xdr:nvSpPr>
        <xdr:cNvPr id="10" name="CaixaDeTexto 9"/>
        <xdr:cNvSpPr txBox="1"/>
      </xdr:nvSpPr>
      <xdr:spPr>
        <a:xfrm>
          <a:off x="681037" y="2011134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681037</xdr:colOff>
      <xdr:row>10</xdr:row>
      <xdr:rowOff>9523</xdr:rowOff>
    </xdr:from>
    <xdr:ext cx="324384" cy="264560"/>
    <xdr:sp macro="" textlink="">
      <xdr:nvSpPr>
        <xdr:cNvPr id="11" name="CaixaDeTexto 10"/>
        <xdr:cNvSpPr txBox="1"/>
      </xdr:nvSpPr>
      <xdr:spPr>
        <a:xfrm>
          <a:off x="681037" y="2295523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681037</xdr:colOff>
      <xdr:row>11</xdr:row>
      <xdr:rowOff>8162</xdr:rowOff>
    </xdr:from>
    <xdr:ext cx="324384" cy="264560"/>
    <xdr:sp macro="" textlink="">
      <xdr:nvSpPr>
        <xdr:cNvPr id="12" name="CaixaDeTexto 11"/>
        <xdr:cNvSpPr txBox="1"/>
      </xdr:nvSpPr>
      <xdr:spPr>
        <a:xfrm>
          <a:off x="681037" y="2579912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681037</xdr:colOff>
      <xdr:row>12</xdr:row>
      <xdr:rowOff>6801</xdr:rowOff>
    </xdr:from>
    <xdr:ext cx="324384" cy="264560"/>
    <xdr:sp macro="" textlink="">
      <xdr:nvSpPr>
        <xdr:cNvPr id="13" name="CaixaDeTexto 12"/>
        <xdr:cNvSpPr txBox="1"/>
      </xdr:nvSpPr>
      <xdr:spPr>
        <a:xfrm>
          <a:off x="681037" y="2864301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681037</xdr:colOff>
      <xdr:row>13</xdr:row>
      <xdr:rowOff>5440</xdr:rowOff>
    </xdr:from>
    <xdr:ext cx="324384" cy="264560"/>
    <xdr:sp macro="" textlink="">
      <xdr:nvSpPr>
        <xdr:cNvPr id="14" name="CaixaDeTexto 13"/>
        <xdr:cNvSpPr txBox="1"/>
      </xdr:nvSpPr>
      <xdr:spPr>
        <a:xfrm>
          <a:off x="681037" y="3148690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681037</xdr:colOff>
      <xdr:row>14</xdr:row>
      <xdr:rowOff>4079</xdr:rowOff>
    </xdr:from>
    <xdr:ext cx="324384" cy="264560"/>
    <xdr:sp macro="" textlink="">
      <xdr:nvSpPr>
        <xdr:cNvPr id="15" name="CaixaDeTexto 14"/>
        <xdr:cNvSpPr txBox="1"/>
      </xdr:nvSpPr>
      <xdr:spPr>
        <a:xfrm>
          <a:off x="681037" y="3433079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681037</xdr:colOff>
      <xdr:row>15</xdr:row>
      <xdr:rowOff>2718</xdr:rowOff>
    </xdr:from>
    <xdr:ext cx="324384" cy="264560"/>
    <xdr:sp macro="" textlink="">
      <xdr:nvSpPr>
        <xdr:cNvPr id="16" name="CaixaDeTexto 15"/>
        <xdr:cNvSpPr txBox="1"/>
      </xdr:nvSpPr>
      <xdr:spPr>
        <a:xfrm>
          <a:off x="681037" y="3717468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681037</xdr:colOff>
      <xdr:row>16</xdr:row>
      <xdr:rowOff>1357</xdr:rowOff>
    </xdr:from>
    <xdr:ext cx="324384" cy="264560"/>
    <xdr:sp macro="" textlink="">
      <xdr:nvSpPr>
        <xdr:cNvPr id="17" name="CaixaDeTexto 16"/>
        <xdr:cNvSpPr txBox="1"/>
      </xdr:nvSpPr>
      <xdr:spPr>
        <a:xfrm>
          <a:off x="681037" y="4001857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681037</xdr:colOff>
      <xdr:row>17</xdr:row>
      <xdr:rowOff>0</xdr:rowOff>
    </xdr:from>
    <xdr:ext cx="324384" cy="264560"/>
    <xdr:sp macro="" textlink="">
      <xdr:nvSpPr>
        <xdr:cNvPr id="18" name="CaixaDeTexto 17"/>
        <xdr:cNvSpPr txBox="1"/>
      </xdr:nvSpPr>
      <xdr:spPr>
        <a:xfrm>
          <a:off x="681037" y="4286250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604837</xdr:colOff>
      <xdr:row>3</xdr:row>
      <xdr:rowOff>19050</xdr:rowOff>
    </xdr:from>
    <xdr:ext cx="324384" cy="264560"/>
    <xdr:sp macro="" textlink="">
      <xdr:nvSpPr>
        <xdr:cNvPr id="2" name="CaixaDeTexto 1"/>
        <xdr:cNvSpPr txBox="1"/>
      </xdr:nvSpPr>
      <xdr:spPr>
        <a:xfrm>
          <a:off x="604837" y="219075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4</xdr:row>
      <xdr:rowOff>17689</xdr:rowOff>
    </xdr:from>
    <xdr:ext cx="324384" cy="264560"/>
    <xdr:sp macro="" textlink="">
      <xdr:nvSpPr>
        <xdr:cNvPr id="3" name="CaixaDeTexto 2"/>
        <xdr:cNvSpPr txBox="1"/>
      </xdr:nvSpPr>
      <xdr:spPr>
        <a:xfrm>
          <a:off x="604837" y="455839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5</xdr:row>
      <xdr:rowOff>16328</xdr:rowOff>
    </xdr:from>
    <xdr:ext cx="324384" cy="264560"/>
    <xdr:sp macro="" textlink="">
      <xdr:nvSpPr>
        <xdr:cNvPr id="4" name="CaixaDeTexto 3"/>
        <xdr:cNvSpPr txBox="1"/>
      </xdr:nvSpPr>
      <xdr:spPr>
        <a:xfrm>
          <a:off x="604837" y="692603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6</xdr:row>
      <xdr:rowOff>14967</xdr:rowOff>
    </xdr:from>
    <xdr:ext cx="324384" cy="264560"/>
    <xdr:sp macro="" textlink="">
      <xdr:nvSpPr>
        <xdr:cNvPr id="5" name="CaixaDeTexto 4"/>
        <xdr:cNvSpPr txBox="1"/>
      </xdr:nvSpPr>
      <xdr:spPr>
        <a:xfrm>
          <a:off x="604837" y="929367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7</xdr:row>
      <xdr:rowOff>13606</xdr:rowOff>
    </xdr:from>
    <xdr:ext cx="324384" cy="264560"/>
    <xdr:sp macro="" textlink="">
      <xdr:nvSpPr>
        <xdr:cNvPr id="6" name="CaixaDeTexto 5"/>
        <xdr:cNvSpPr txBox="1"/>
      </xdr:nvSpPr>
      <xdr:spPr>
        <a:xfrm>
          <a:off x="604837" y="1166131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8</xdr:row>
      <xdr:rowOff>12245</xdr:rowOff>
    </xdr:from>
    <xdr:ext cx="324384" cy="264560"/>
    <xdr:sp macro="" textlink="">
      <xdr:nvSpPr>
        <xdr:cNvPr id="7" name="CaixaDeTexto 6"/>
        <xdr:cNvSpPr txBox="1"/>
      </xdr:nvSpPr>
      <xdr:spPr>
        <a:xfrm>
          <a:off x="604837" y="1402895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9</xdr:row>
      <xdr:rowOff>10884</xdr:rowOff>
    </xdr:from>
    <xdr:ext cx="324384" cy="264560"/>
    <xdr:sp macro="" textlink="">
      <xdr:nvSpPr>
        <xdr:cNvPr id="8" name="CaixaDeTexto 7"/>
        <xdr:cNvSpPr txBox="1"/>
      </xdr:nvSpPr>
      <xdr:spPr>
        <a:xfrm>
          <a:off x="604837" y="1639659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10</xdr:row>
      <xdr:rowOff>9523</xdr:rowOff>
    </xdr:from>
    <xdr:ext cx="324384" cy="264560"/>
    <xdr:sp macro="" textlink="">
      <xdr:nvSpPr>
        <xdr:cNvPr id="9" name="CaixaDeTexto 8"/>
        <xdr:cNvSpPr txBox="1"/>
      </xdr:nvSpPr>
      <xdr:spPr>
        <a:xfrm>
          <a:off x="604837" y="1876423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11</xdr:row>
      <xdr:rowOff>8162</xdr:rowOff>
    </xdr:from>
    <xdr:ext cx="324384" cy="264560"/>
    <xdr:sp macro="" textlink="">
      <xdr:nvSpPr>
        <xdr:cNvPr id="10" name="CaixaDeTexto 9"/>
        <xdr:cNvSpPr txBox="1"/>
      </xdr:nvSpPr>
      <xdr:spPr>
        <a:xfrm>
          <a:off x="604837" y="2113187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12</xdr:row>
      <xdr:rowOff>6801</xdr:rowOff>
    </xdr:from>
    <xdr:ext cx="324384" cy="264560"/>
    <xdr:sp macro="" textlink="">
      <xdr:nvSpPr>
        <xdr:cNvPr id="11" name="CaixaDeTexto 10"/>
        <xdr:cNvSpPr txBox="1"/>
      </xdr:nvSpPr>
      <xdr:spPr>
        <a:xfrm>
          <a:off x="604837" y="2349951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13</xdr:row>
      <xdr:rowOff>5440</xdr:rowOff>
    </xdr:from>
    <xdr:ext cx="324384" cy="264560"/>
    <xdr:sp macro="" textlink="">
      <xdr:nvSpPr>
        <xdr:cNvPr id="12" name="CaixaDeTexto 11"/>
        <xdr:cNvSpPr txBox="1"/>
      </xdr:nvSpPr>
      <xdr:spPr>
        <a:xfrm>
          <a:off x="604837" y="2586715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14</xdr:row>
      <xdr:rowOff>4079</xdr:rowOff>
    </xdr:from>
    <xdr:ext cx="324384" cy="264560"/>
    <xdr:sp macro="" textlink="">
      <xdr:nvSpPr>
        <xdr:cNvPr id="13" name="CaixaDeTexto 12"/>
        <xdr:cNvSpPr txBox="1"/>
      </xdr:nvSpPr>
      <xdr:spPr>
        <a:xfrm>
          <a:off x="604837" y="2823479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15</xdr:row>
      <xdr:rowOff>2718</xdr:rowOff>
    </xdr:from>
    <xdr:ext cx="324384" cy="264560"/>
    <xdr:sp macro="" textlink="">
      <xdr:nvSpPr>
        <xdr:cNvPr id="14" name="CaixaDeTexto 13"/>
        <xdr:cNvSpPr txBox="1"/>
      </xdr:nvSpPr>
      <xdr:spPr>
        <a:xfrm>
          <a:off x="604837" y="3060243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16</xdr:row>
      <xdr:rowOff>1357</xdr:rowOff>
    </xdr:from>
    <xdr:ext cx="324384" cy="264560"/>
    <xdr:sp macro="" textlink="">
      <xdr:nvSpPr>
        <xdr:cNvPr id="15" name="CaixaDeTexto 14"/>
        <xdr:cNvSpPr txBox="1"/>
      </xdr:nvSpPr>
      <xdr:spPr>
        <a:xfrm>
          <a:off x="604837" y="3297007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17</xdr:row>
      <xdr:rowOff>0</xdr:rowOff>
    </xdr:from>
    <xdr:ext cx="324384" cy="264560"/>
    <xdr:sp macro="" textlink="">
      <xdr:nvSpPr>
        <xdr:cNvPr id="16" name="CaixaDeTexto 15"/>
        <xdr:cNvSpPr txBox="1"/>
      </xdr:nvSpPr>
      <xdr:spPr>
        <a:xfrm>
          <a:off x="604837" y="3533775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twoCellAnchor>
    <xdr:from>
      <xdr:col>6</xdr:col>
      <xdr:colOff>19050</xdr:colOff>
      <xdr:row>18</xdr:row>
      <xdr:rowOff>85725</xdr:rowOff>
    </xdr:from>
    <xdr:to>
      <xdr:col>15</xdr:col>
      <xdr:colOff>552450</xdr:colOff>
      <xdr:row>18</xdr:row>
      <xdr:rowOff>95250</xdr:rowOff>
    </xdr:to>
    <xdr:cxnSp macro="">
      <xdr:nvCxnSpPr>
        <xdr:cNvPr id="18" name="Conector de seta reta 17"/>
        <xdr:cNvCxnSpPr/>
      </xdr:nvCxnSpPr>
      <xdr:spPr>
        <a:xfrm flipV="1">
          <a:off x="3952875" y="3857625"/>
          <a:ext cx="5676900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604837</xdr:colOff>
      <xdr:row>3</xdr:row>
      <xdr:rowOff>19050</xdr:rowOff>
    </xdr:from>
    <xdr:ext cx="324384" cy="264560"/>
    <xdr:sp macro="" textlink="">
      <xdr:nvSpPr>
        <xdr:cNvPr id="2" name="CaixaDeTexto 1"/>
        <xdr:cNvSpPr txBox="1"/>
      </xdr:nvSpPr>
      <xdr:spPr>
        <a:xfrm>
          <a:off x="604837" y="219075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4</xdr:row>
      <xdr:rowOff>17689</xdr:rowOff>
    </xdr:from>
    <xdr:ext cx="324384" cy="264560"/>
    <xdr:sp macro="" textlink="">
      <xdr:nvSpPr>
        <xdr:cNvPr id="3" name="CaixaDeTexto 2"/>
        <xdr:cNvSpPr txBox="1"/>
      </xdr:nvSpPr>
      <xdr:spPr>
        <a:xfrm>
          <a:off x="604837" y="455839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5</xdr:row>
      <xdr:rowOff>16328</xdr:rowOff>
    </xdr:from>
    <xdr:ext cx="324384" cy="264560"/>
    <xdr:sp macro="" textlink="">
      <xdr:nvSpPr>
        <xdr:cNvPr id="4" name="CaixaDeTexto 3"/>
        <xdr:cNvSpPr txBox="1"/>
      </xdr:nvSpPr>
      <xdr:spPr>
        <a:xfrm>
          <a:off x="604837" y="692603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6</xdr:row>
      <xdr:rowOff>14967</xdr:rowOff>
    </xdr:from>
    <xdr:ext cx="324384" cy="264560"/>
    <xdr:sp macro="" textlink="">
      <xdr:nvSpPr>
        <xdr:cNvPr id="5" name="CaixaDeTexto 4"/>
        <xdr:cNvSpPr txBox="1"/>
      </xdr:nvSpPr>
      <xdr:spPr>
        <a:xfrm>
          <a:off x="604837" y="929367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7</xdr:row>
      <xdr:rowOff>13606</xdr:rowOff>
    </xdr:from>
    <xdr:ext cx="324384" cy="264560"/>
    <xdr:sp macro="" textlink="">
      <xdr:nvSpPr>
        <xdr:cNvPr id="6" name="CaixaDeTexto 5"/>
        <xdr:cNvSpPr txBox="1"/>
      </xdr:nvSpPr>
      <xdr:spPr>
        <a:xfrm>
          <a:off x="604837" y="1166131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8</xdr:row>
      <xdr:rowOff>12245</xdr:rowOff>
    </xdr:from>
    <xdr:ext cx="324384" cy="264560"/>
    <xdr:sp macro="" textlink="">
      <xdr:nvSpPr>
        <xdr:cNvPr id="7" name="CaixaDeTexto 6"/>
        <xdr:cNvSpPr txBox="1"/>
      </xdr:nvSpPr>
      <xdr:spPr>
        <a:xfrm>
          <a:off x="604837" y="1402895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9</xdr:row>
      <xdr:rowOff>10884</xdr:rowOff>
    </xdr:from>
    <xdr:ext cx="324384" cy="264560"/>
    <xdr:sp macro="" textlink="">
      <xdr:nvSpPr>
        <xdr:cNvPr id="8" name="CaixaDeTexto 7"/>
        <xdr:cNvSpPr txBox="1"/>
      </xdr:nvSpPr>
      <xdr:spPr>
        <a:xfrm>
          <a:off x="604837" y="1639659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10</xdr:row>
      <xdr:rowOff>9523</xdr:rowOff>
    </xdr:from>
    <xdr:ext cx="324384" cy="264560"/>
    <xdr:sp macro="" textlink="">
      <xdr:nvSpPr>
        <xdr:cNvPr id="9" name="CaixaDeTexto 8"/>
        <xdr:cNvSpPr txBox="1"/>
      </xdr:nvSpPr>
      <xdr:spPr>
        <a:xfrm>
          <a:off x="604837" y="1876423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11</xdr:row>
      <xdr:rowOff>8162</xdr:rowOff>
    </xdr:from>
    <xdr:ext cx="324384" cy="264560"/>
    <xdr:sp macro="" textlink="">
      <xdr:nvSpPr>
        <xdr:cNvPr id="10" name="CaixaDeTexto 9"/>
        <xdr:cNvSpPr txBox="1"/>
      </xdr:nvSpPr>
      <xdr:spPr>
        <a:xfrm>
          <a:off x="604837" y="2113187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12</xdr:row>
      <xdr:rowOff>6801</xdr:rowOff>
    </xdr:from>
    <xdr:ext cx="324384" cy="264560"/>
    <xdr:sp macro="" textlink="">
      <xdr:nvSpPr>
        <xdr:cNvPr id="11" name="CaixaDeTexto 10"/>
        <xdr:cNvSpPr txBox="1"/>
      </xdr:nvSpPr>
      <xdr:spPr>
        <a:xfrm>
          <a:off x="604837" y="2349951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13</xdr:row>
      <xdr:rowOff>5440</xdr:rowOff>
    </xdr:from>
    <xdr:ext cx="324384" cy="264560"/>
    <xdr:sp macro="" textlink="">
      <xdr:nvSpPr>
        <xdr:cNvPr id="12" name="CaixaDeTexto 11"/>
        <xdr:cNvSpPr txBox="1"/>
      </xdr:nvSpPr>
      <xdr:spPr>
        <a:xfrm>
          <a:off x="604837" y="2586715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14</xdr:row>
      <xdr:rowOff>4079</xdr:rowOff>
    </xdr:from>
    <xdr:ext cx="324384" cy="264560"/>
    <xdr:sp macro="" textlink="">
      <xdr:nvSpPr>
        <xdr:cNvPr id="13" name="CaixaDeTexto 12"/>
        <xdr:cNvSpPr txBox="1"/>
      </xdr:nvSpPr>
      <xdr:spPr>
        <a:xfrm>
          <a:off x="604837" y="2823479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15</xdr:row>
      <xdr:rowOff>2718</xdr:rowOff>
    </xdr:from>
    <xdr:ext cx="324384" cy="264560"/>
    <xdr:sp macro="" textlink="">
      <xdr:nvSpPr>
        <xdr:cNvPr id="14" name="CaixaDeTexto 13"/>
        <xdr:cNvSpPr txBox="1"/>
      </xdr:nvSpPr>
      <xdr:spPr>
        <a:xfrm>
          <a:off x="604837" y="3060243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16</xdr:row>
      <xdr:rowOff>1357</xdr:rowOff>
    </xdr:from>
    <xdr:ext cx="324384" cy="264560"/>
    <xdr:sp macro="" textlink="">
      <xdr:nvSpPr>
        <xdr:cNvPr id="15" name="CaixaDeTexto 14"/>
        <xdr:cNvSpPr txBox="1"/>
      </xdr:nvSpPr>
      <xdr:spPr>
        <a:xfrm>
          <a:off x="604837" y="3297007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17</xdr:row>
      <xdr:rowOff>0</xdr:rowOff>
    </xdr:from>
    <xdr:ext cx="324384" cy="264560"/>
    <xdr:sp macro="" textlink="">
      <xdr:nvSpPr>
        <xdr:cNvPr id="16" name="CaixaDeTexto 15"/>
        <xdr:cNvSpPr txBox="1"/>
      </xdr:nvSpPr>
      <xdr:spPr>
        <a:xfrm>
          <a:off x="604837" y="3533775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twoCellAnchor>
    <xdr:from>
      <xdr:col>6</xdr:col>
      <xdr:colOff>7327</xdr:colOff>
      <xdr:row>18</xdr:row>
      <xdr:rowOff>117231</xdr:rowOff>
    </xdr:from>
    <xdr:to>
      <xdr:col>16</xdr:col>
      <xdr:colOff>461596</xdr:colOff>
      <xdr:row>18</xdr:row>
      <xdr:rowOff>134083</xdr:rowOff>
    </xdr:to>
    <xdr:cxnSp macro="">
      <xdr:nvCxnSpPr>
        <xdr:cNvPr id="17" name="Conector de seta reta 16"/>
        <xdr:cNvCxnSpPr/>
      </xdr:nvCxnSpPr>
      <xdr:spPr>
        <a:xfrm flipV="1">
          <a:off x="3465635" y="3949212"/>
          <a:ext cx="5216769" cy="16852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604837</xdr:colOff>
      <xdr:row>3</xdr:row>
      <xdr:rowOff>19050</xdr:rowOff>
    </xdr:from>
    <xdr:ext cx="324384" cy="264560"/>
    <xdr:sp macro="" textlink="">
      <xdr:nvSpPr>
        <xdr:cNvPr id="2" name="CaixaDeTexto 1"/>
        <xdr:cNvSpPr txBox="1"/>
      </xdr:nvSpPr>
      <xdr:spPr>
        <a:xfrm>
          <a:off x="604837" y="304800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4</xdr:row>
      <xdr:rowOff>17689</xdr:rowOff>
    </xdr:from>
    <xdr:ext cx="324384" cy="264560"/>
    <xdr:sp macro="" textlink="">
      <xdr:nvSpPr>
        <xdr:cNvPr id="3" name="CaixaDeTexto 2"/>
        <xdr:cNvSpPr txBox="1"/>
      </xdr:nvSpPr>
      <xdr:spPr>
        <a:xfrm>
          <a:off x="604837" y="589189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5</xdr:row>
      <xdr:rowOff>16328</xdr:rowOff>
    </xdr:from>
    <xdr:ext cx="324384" cy="264560"/>
    <xdr:sp macro="" textlink="">
      <xdr:nvSpPr>
        <xdr:cNvPr id="4" name="CaixaDeTexto 3"/>
        <xdr:cNvSpPr txBox="1"/>
      </xdr:nvSpPr>
      <xdr:spPr>
        <a:xfrm>
          <a:off x="604837" y="873578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6</xdr:row>
      <xdr:rowOff>14967</xdr:rowOff>
    </xdr:from>
    <xdr:ext cx="324384" cy="264560"/>
    <xdr:sp macro="" textlink="">
      <xdr:nvSpPr>
        <xdr:cNvPr id="5" name="CaixaDeTexto 4"/>
        <xdr:cNvSpPr txBox="1"/>
      </xdr:nvSpPr>
      <xdr:spPr>
        <a:xfrm>
          <a:off x="604837" y="1157967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7</xdr:row>
      <xdr:rowOff>13606</xdr:rowOff>
    </xdr:from>
    <xdr:ext cx="324384" cy="264560"/>
    <xdr:sp macro="" textlink="">
      <xdr:nvSpPr>
        <xdr:cNvPr id="6" name="CaixaDeTexto 5"/>
        <xdr:cNvSpPr txBox="1"/>
      </xdr:nvSpPr>
      <xdr:spPr>
        <a:xfrm>
          <a:off x="604837" y="1442356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8</xdr:row>
      <xdr:rowOff>12245</xdr:rowOff>
    </xdr:from>
    <xdr:ext cx="324384" cy="264560"/>
    <xdr:sp macro="" textlink="">
      <xdr:nvSpPr>
        <xdr:cNvPr id="7" name="CaixaDeTexto 6"/>
        <xdr:cNvSpPr txBox="1"/>
      </xdr:nvSpPr>
      <xdr:spPr>
        <a:xfrm>
          <a:off x="604837" y="1726745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9</xdr:row>
      <xdr:rowOff>10884</xdr:rowOff>
    </xdr:from>
    <xdr:ext cx="324384" cy="264560"/>
    <xdr:sp macro="" textlink="">
      <xdr:nvSpPr>
        <xdr:cNvPr id="8" name="CaixaDeTexto 7"/>
        <xdr:cNvSpPr txBox="1"/>
      </xdr:nvSpPr>
      <xdr:spPr>
        <a:xfrm>
          <a:off x="604837" y="2011134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10</xdr:row>
      <xdr:rowOff>9523</xdr:rowOff>
    </xdr:from>
    <xdr:ext cx="324384" cy="264560"/>
    <xdr:sp macro="" textlink="">
      <xdr:nvSpPr>
        <xdr:cNvPr id="9" name="CaixaDeTexto 8"/>
        <xdr:cNvSpPr txBox="1"/>
      </xdr:nvSpPr>
      <xdr:spPr>
        <a:xfrm>
          <a:off x="604837" y="2295523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11</xdr:row>
      <xdr:rowOff>8162</xdr:rowOff>
    </xdr:from>
    <xdr:ext cx="324384" cy="264560"/>
    <xdr:sp macro="" textlink="">
      <xdr:nvSpPr>
        <xdr:cNvPr id="10" name="CaixaDeTexto 9"/>
        <xdr:cNvSpPr txBox="1"/>
      </xdr:nvSpPr>
      <xdr:spPr>
        <a:xfrm>
          <a:off x="604837" y="2579912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12</xdr:row>
      <xdr:rowOff>6801</xdr:rowOff>
    </xdr:from>
    <xdr:ext cx="324384" cy="264560"/>
    <xdr:sp macro="" textlink="">
      <xdr:nvSpPr>
        <xdr:cNvPr id="11" name="CaixaDeTexto 10"/>
        <xdr:cNvSpPr txBox="1"/>
      </xdr:nvSpPr>
      <xdr:spPr>
        <a:xfrm>
          <a:off x="604837" y="2864301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13</xdr:row>
      <xdr:rowOff>5440</xdr:rowOff>
    </xdr:from>
    <xdr:ext cx="324384" cy="264560"/>
    <xdr:sp macro="" textlink="">
      <xdr:nvSpPr>
        <xdr:cNvPr id="12" name="CaixaDeTexto 11"/>
        <xdr:cNvSpPr txBox="1"/>
      </xdr:nvSpPr>
      <xdr:spPr>
        <a:xfrm>
          <a:off x="604837" y="3148690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14</xdr:row>
      <xdr:rowOff>4079</xdr:rowOff>
    </xdr:from>
    <xdr:ext cx="324384" cy="264560"/>
    <xdr:sp macro="" textlink="">
      <xdr:nvSpPr>
        <xdr:cNvPr id="13" name="CaixaDeTexto 12"/>
        <xdr:cNvSpPr txBox="1"/>
      </xdr:nvSpPr>
      <xdr:spPr>
        <a:xfrm>
          <a:off x="604837" y="3433079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15</xdr:row>
      <xdr:rowOff>2718</xdr:rowOff>
    </xdr:from>
    <xdr:ext cx="324384" cy="264560"/>
    <xdr:sp macro="" textlink="">
      <xdr:nvSpPr>
        <xdr:cNvPr id="14" name="CaixaDeTexto 13"/>
        <xdr:cNvSpPr txBox="1"/>
      </xdr:nvSpPr>
      <xdr:spPr>
        <a:xfrm>
          <a:off x="604837" y="3717468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16</xdr:row>
      <xdr:rowOff>1357</xdr:rowOff>
    </xdr:from>
    <xdr:ext cx="324384" cy="264560"/>
    <xdr:sp macro="" textlink="">
      <xdr:nvSpPr>
        <xdr:cNvPr id="15" name="CaixaDeTexto 14"/>
        <xdr:cNvSpPr txBox="1"/>
      </xdr:nvSpPr>
      <xdr:spPr>
        <a:xfrm>
          <a:off x="604837" y="4001857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17</xdr:row>
      <xdr:rowOff>0</xdr:rowOff>
    </xdr:from>
    <xdr:ext cx="324384" cy="264560"/>
    <xdr:sp macro="" textlink="">
      <xdr:nvSpPr>
        <xdr:cNvPr id="16" name="CaixaDeTexto 15"/>
        <xdr:cNvSpPr txBox="1"/>
      </xdr:nvSpPr>
      <xdr:spPr>
        <a:xfrm>
          <a:off x="604837" y="4286250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twoCellAnchor>
    <xdr:from>
      <xdr:col>6</xdr:col>
      <xdr:colOff>7327</xdr:colOff>
      <xdr:row>18</xdr:row>
      <xdr:rowOff>117231</xdr:rowOff>
    </xdr:from>
    <xdr:to>
      <xdr:col>16</xdr:col>
      <xdr:colOff>461596</xdr:colOff>
      <xdr:row>18</xdr:row>
      <xdr:rowOff>134083</xdr:rowOff>
    </xdr:to>
    <xdr:cxnSp macro="">
      <xdr:nvCxnSpPr>
        <xdr:cNvPr id="17" name="Conector de seta reta 16"/>
        <xdr:cNvCxnSpPr/>
      </xdr:nvCxnSpPr>
      <xdr:spPr>
        <a:xfrm flipV="1">
          <a:off x="3464902" y="4689231"/>
          <a:ext cx="5216769" cy="16852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604837</xdr:colOff>
      <xdr:row>2</xdr:row>
      <xdr:rowOff>19050</xdr:rowOff>
    </xdr:from>
    <xdr:ext cx="324384" cy="264560"/>
    <xdr:sp macro="" textlink="">
      <xdr:nvSpPr>
        <xdr:cNvPr id="2" name="CaixaDeTexto 1"/>
        <xdr:cNvSpPr txBox="1"/>
      </xdr:nvSpPr>
      <xdr:spPr>
        <a:xfrm>
          <a:off x="604837" y="219075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3</xdr:row>
      <xdr:rowOff>17689</xdr:rowOff>
    </xdr:from>
    <xdr:ext cx="324384" cy="264560"/>
    <xdr:sp macro="" textlink="">
      <xdr:nvSpPr>
        <xdr:cNvPr id="3" name="CaixaDeTexto 2"/>
        <xdr:cNvSpPr txBox="1"/>
      </xdr:nvSpPr>
      <xdr:spPr>
        <a:xfrm>
          <a:off x="604837" y="455839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4</xdr:row>
      <xdr:rowOff>16328</xdr:rowOff>
    </xdr:from>
    <xdr:ext cx="324384" cy="264560"/>
    <xdr:sp macro="" textlink="">
      <xdr:nvSpPr>
        <xdr:cNvPr id="4" name="CaixaDeTexto 3"/>
        <xdr:cNvSpPr txBox="1"/>
      </xdr:nvSpPr>
      <xdr:spPr>
        <a:xfrm>
          <a:off x="604837" y="692603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5</xdr:row>
      <xdr:rowOff>14967</xdr:rowOff>
    </xdr:from>
    <xdr:ext cx="324384" cy="264560"/>
    <xdr:sp macro="" textlink="">
      <xdr:nvSpPr>
        <xdr:cNvPr id="5" name="CaixaDeTexto 4"/>
        <xdr:cNvSpPr txBox="1"/>
      </xdr:nvSpPr>
      <xdr:spPr>
        <a:xfrm>
          <a:off x="604837" y="929367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6</xdr:row>
      <xdr:rowOff>13606</xdr:rowOff>
    </xdr:from>
    <xdr:ext cx="324384" cy="264560"/>
    <xdr:sp macro="" textlink="">
      <xdr:nvSpPr>
        <xdr:cNvPr id="6" name="CaixaDeTexto 5"/>
        <xdr:cNvSpPr txBox="1"/>
      </xdr:nvSpPr>
      <xdr:spPr>
        <a:xfrm>
          <a:off x="604837" y="1166131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7</xdr:row>
      <xdr:rowOff>12245</xdr:rowOff>
    </xdr:from>
    <xdr:ext cx="324384" cy="264560"/>
    <xdr:sp macro="" textlink="">
      <xdr:nvSpPr>
        <xdr:cNvPr id="7" name="CaixaDeTexto 6"/>
        <xdr:cNvSpPr txBox="1"/>
      </xdr:nvSpPr>
      <xdr:spPr>
        <a:xfrm>
          <a:off x="604837" y="1402895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8</xdr:row>
      <xdr:rowOff>10884</xdr:rowOff>
    </xdr:from>
    <xdr:ext cx="324384" cy="264560"/>
    <xdr:sp macro="" textlink="">
      <xdr:nvSpPr>
        <xdr:cNvPr id="8" name="CaixaDeTexto 7"/>
        <xdr:cNvSpPr txBox="1"/>
      </xdr:nvSpPr>
      <xdr:spPr>
        <a:xfrm>
          <a:off x="604837" y="1639659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9</xdr:row>
      <xdr:rowOff>9523</xdr:rowOff>
    </xdr:from>
    <xdr:ext cx="324384" cy="264560"/>
    <xdr:sp macro="" textlink="">
      <xdr:nvSpPr>
        <xdr:cNvPr id="9" name="CaixaDeTexto 8"/>
        <xdr:cNvSpPr txBox="1"/>
      </xdr:nvSpPr>
      <xdr:spPr>
        <a:xfrm>
          <a:off x="604837" y="1876423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10</xdr:row>
      <xdr:rowOff>8162</xdr:rowOff>
    </xdr:from>
    <xdr:ext cx="324384" cy="264560"/>
    <xdr:sp macro="" textlink="">
      <xdr:nvSpPr>
        <xdr:cNvPr id="10" name="CaixaDeTexto 9"/>
        <xdr:cNvSpPr txBox="1"/>
      </xdr:nvSpPr>
      <xdr:spPr>
        <a:xfrm>
          <a:off x="604837" y="2113187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11</xdr:row>
      <xdr:rowOff>6801</xdr:rowOff>
    </xdr:from>
    <xdr:ext cx="324384" cy="264560"/>
    <xdr:sp macro="" textlink="">
      <xdr:nvSpPr>
        <xdr:cNvPr id="11" name="CaixaDeTexto 10"/>
        <xdr:cNvSpPr txBox="1"/>
      </xdr:nvSpPr>
      <xdr:spPr>
        <a:xfrm>
          <a:off x="604837" y="2349951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12</xdr:row>
      <xdr:rowOff>5440</xdr:rowOff>
    </xdr:from>
    <xdr:ext cx="324384" cy="264560"/>
    <xdr:sp macro="" textlink="">
      <xdr:nvSpPr>
        <xdr:cNvPr id="12" name="CaixaDeTexto 11"/>
        <xdr:cNvSpPr txBox="1"/>
      </xdr:nvSpPr>
      <xdr:spPr>
        <a:xfrm>
          <a:off x="604837" y="2586715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13</xdr:row>
      <xdr:rowOff>4079</xdr:rowOff>
    </xdr:from>
    <xdr:ext cx="324384" cy="264560"/>
    <xdr:sp macro="" textlink="">
      <xdr:nvSpPr>
        <xdr:cNvPr id="13" name="CaixaDeTexto 12"/>
        <xdr:cNvSpPr txBox="1"/>
      </xdr:nvSpPr>
      <xdr:spPr>
        <a:xfrm>
          <a:off x="604837" y="2823479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14</xdr:row>
      <xdr:rowOff>2718</xdr:rowOff>
    </xdr:from>
    <xdr:ext cx="324384" cy="264560"/>
    <xdr:sp macro="" textlink="">
      <xdr:nvSpPr>
        <xdr:cNvPr id="14" name="CaixaDeTexto 13"/>
        <xdr:cNvSpPr txBox="1"/>
      </xdr:nvSpPr>
      <xdr:spPr>
        <a:xfrm>
          <a:off x="604837" y="3060243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15</xdr:row>
      <xdr:rowOff>1357</xdr:rowOff>
    </xdr:from>
    <xdr:ext cx="324384" cy="264560"/>
    <xdr:sp macro="" textlink="">
      <xdr:nvSpPr>
        <xdr:cNvPr id="15" name="CaixaDeTexto 14"/>
        <xdr:cNvSpPr txBox="1"/>
      </xdr:nvSpPr>
      <xdr:spPr>
        <a:xfrm>
          <a:off x="604837" y="3297007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oneCellAnchor>
    <xdr:from>
      <xdr:col>0</xdr:col>
      <xdr:colOff>604837</xdr:colOff>
      <xdr:row>16</xdr:row>
      <xdr:rowOff>0</xdr:rowOff>
    </xdr:from>
    <xdr:ext cx="324384" cy="264560"/>
    <xdr:sp macro="" textlink="">
      <xdr:nvSpPr>
        <xdr:cNvPr id="16" name="CaixaDeTexto 15"/>
        <xdr:cNvSpPr txBox="1"/>
      </xdr:nvSpPr>
      <xdr:spPr>
        <a:xfrm>
          <a:off x="604837" y="3533775"/>
          <a:ext cx="324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100"/>
            <a:t>Kg</a:t>
          </a:r>
        </a:p>
      </xdr:txBody>
    </xdr:sp>
    <xdr:clientData/>
  </xdr:oneCellAnchor>
  <xdr:twoCellAnchor>
    <xdr:from>
      <xdr:col>9</xdr:col>
      <xdr:colOff>9525</xdr:colOff>
      <xdr:row>17</xdr:row>
      <xdr:rowOff>95250</xdr:rowOff>
    </xdr:from>
    <xdr:to>
      <xdr:col>20</xdr:col>
      <xdr:colOff>447675</xdr:colOff>
      <xdr:row>17</xdr:row>
      <xdr:rowOff>104775</xdr:rowOff>
    </xdr:to>
    <xdr:cxnSp macro="">
      <xdr:nvCxnSpPr>
        <xdr:cNvPr id="17" name="Conector de seta reta 16"/>
        <xdr:cNvCxnSpPr/>
      </xdr:nvCxnSpPr>
      <xdr:spPr>
        <a:xfrm flipV="1">
          <a:off x="4895850" y="3876675"/>
          <a:ext cx="5676900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74</xdr:row>
      <xdr:rowOff>104775</xdr:rowOff>
    </xdr:from>
    <xdr:to>
      <xdr:col>9</xdr:col>
      <xdr:colOff>19050</xdr:colOff>
      <xdr:row>74</xdr:row>
      <xdr:rowOff>106363</xdr:rowOff>
    </xdr:to>
    <xdr:cxnSp macro="">
      <xdr:nvCxnSpPr>
        <xdr:cNvPr id="2" name="Conector reto 1"/>
        <xdr:cNvCxnSpPr/>
      </xdr:nvCxnSpPr>
      <xdr:spPr>
        <a:xfrm>
          <a:off x="4181475" y="14430375"/>
          <a:ext cx="1847850" cy="1588"/>
        </a:xfrm>
        <a:prstGeom prst="line">
          <a:avLst/>
        </a:prstGeom>
        <a:ln w="57150">
          <a:headEnd type="diamond" w="med" len="med"/>
          <a:tailEnd type="diamond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357187</xdr:colOff>
      <xdr:row>7</xdr:row>
      <xdr:rowOff>180975</xdr:rowOff>
    </xdr:from>
    <xdr:to>
      <xdr:col>1</xdr:col>
      <xdr:colOff>23945</xdr:colOff>
      <xdr:row>23</xdr:row>
      <xdr:rowOff>11415</xdr:rowOff>
    </xdr:to>
    <xdr:grpSp>
      <xdr:nvGrpSpPr>
        <xdr:cNvPr id="25" name="Grupo 24"/>
        <xdr:cNvGrpSpPr/>
      </xdr:nvGrpSpPr>
      <xdr:grpSpPr>
        <a:xfrm>
          <a:off x="357187" y="1743075"/>
          <a:ext cx="276358" cy="2878440"/>
          <a:chOff x="357187" y="1743075"/>
          <a:chExt cx="276358" cy="2878440"/>
        </a:xfrm>
      </xdr:grpSpPr>
      <xdr:sp macro="" textlink="">
        <xdr:nvSpPr>
          <xdr:cNvPr id="3" name="CaixaDeTexto 2"/>
          <xdr:cNvSpPr txBox="1"/>
        </xdr:nvSpPr>
        <xdr:spPr>
          <a:xfrm>
            <a:off x="357187" y="174307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4" name="CaixaDeTexto 3"/>
          <xdr:cNvSpPr txBox="1"/>
        </xdr:nvSpPr>
        <xdr:spPr>
          <a:xfrm>
            <a:off x="357187" y="193425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5" name="CaixaDeTexto 4"/>
          <xdr:cNvSpPr txBox="1"/>
        </xdr:nvSpPr>
        <xdr:spPr>
          <a:xfrm>
            <a:off x="357187" y="212543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6" name="CaixaDeTexto 5"/>
          <xdr:cNvSpPr txBox="1"/>
        </xdr:nvSpPr>
        <xdr:spPr>
          <a:xfrm>
            <a:off x="357187" y="231661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7" name="CaixaDeTexto 6"/>
          <xdr:cNvSpPr txBox="1"/>
        </xdr:nvSpPr>
        <xdr:spPr>
          <a:xfrm>
            <a:off x="357187" y="250779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8" name="CaixaDeTexto 7"/>
          <xdr:cNvSpPr txBox="1"/>
        </xdr:nvSpPr>
        <xdr:spPr>
          <a:xfrm>
            <a:off x="357187" y="269897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15" name="CaixaDeTexto 14"/>
          <xdr:cNvSpPr txBox="1"/>
        </xdr:nvSpPr>
        <xdr:spPr>
          <a:xfrm>
            <a:off x="357187" y="346369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16" name="CaixaDeTexto 15"/>
          <xdr:cNvSpPr txBox="1"/>
        </xdr:nvSpPr>
        <xdr:spPr>
          <a:xfrm>
            <a:off x="357187" y="365487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17" name="CaixaDeTexto 16"/>
          <xdr:cNvSpPr txBox="1"/>
        </xdr:nvSpPr>
        <xdr:spPr>
          <a:xfrm>
            <a:off x="357187" y="384605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18" name="CaixaDeTexto 17"/>
          <xdr:cNvSpPr txBox="1"/>
        </xdr:nvSpPr>
        <xdr:spPr>
          <a:xfrm>
            <a:off x="357187" y="403723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19" name="CaixaDeTexto 18"/>
          <xdr:cNvSpPr txBox="1"/>
        </xdr:nvSpPr>
        <xdr:spPr>
          <a:xfrm>
            <a:off x="357187" y="422841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20" name="CaixaDeTexto 19"/>
          <xdr:cNvSpPr txBox="1"/>
        </xdr:nvSpPr>
        <xdr:spPr>
          <a:xfrm>
            <a:off x="357187" y="4419600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21" name="CaixaDeTexto 20"/>
          <xdr:cNvSpPr txBox="1"/>
        </xdr:nvSpPr>
        <xdr:spPr>
          <a:xfrm>
            <a:off x="357187" y="289015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22" name="CaixaDeTexto 21"/>
          <xdr:cNvSpPr txBox="1"/>
        </xdr:nvSpPr>
        <xdr:spPr>
          <a:xfrm>
            <a:off x="357187" y="308133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23" name="CaixaDeTexto 22"/>
          <xdr:cNvSpPr txBox="1"/>
        </xdr:nvSpPr>
        <xdr:spPr>
          <a:xfrm>
            <a:off x="357187" y="327251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</xdr:grpSp>
    <xdr:clientData/>
  </xdr:twoCellAnchor>
  <xdr:twoCellAnchor>
    <xdr:from>
      <xdr:col>0</xdr:col>
      <xdr:colOff>357187</xdr:colOff>
      <xdr:row>24</xdr:row>
      <xdr:rowOff>180975</xdr:rowOff>
    </xdr:from>
    <xdr:to>
      <xdr:col>1</xdr:col>
      <xdr:colOff>23945</xdr:colOff>
      <xdr:row>40</xdr:row>
      <xdr:rowOff>11415</xdr:rowOff>
    </xdr:to>
    <xdr:grpSp>
      <xdr:nvGrpSpPr>
        <xdr:cNvPr id="26" name="Grupo 25"/>
        <xdr:cNvGrpSpPr/>
      </xdr:nvGrpSpPr>
      <xdr:grpSpPr>
        <a:xfrm>
          <a:off x="357187" y="4981575"/>
          <a:ext cx="276358" cy="2878440"/>
          <a:chOff x="357187" y="1743075"/>
          <a:chExt cx="276358" cy="2878440"/>
        </a:xfrm>
      </xdr:grpSpPr>
      <xdr:sp macro="" textlink="">
        <xdr:nvSpPr>
          <xdr:cNvPr id="27" name="CaixaDeTexto 26"/>
          <xdr:cNvSpPr txBox="1"/>
        </xdr:nvSpPr>
        <xdr:spPr>
          <a:xfrm>
            <a:off x="357187" y="174307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28" name="CaixaDeTexto 27"/>
          <xdr:cNvSpPr txBox="1"/>
        </xdr:nvSpPr>
        <xdr:spPr>
          <a:xfrm>
            <a:off x="357187" y="193425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29" name="CaixaDeTexto 28"/>
          <xdr:cNvSpPr txBox="1"/>
        </xdr:nvSpPr>
        <xdr:spPr>
          <a:xfrm>
            <a:off x="357187" y="212543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30" name="CaixaDeTexto 29"/>
          <xdr:cNvSpPr txBox="1"/>
        </xdr:nvSpPr>
        <xdr:spPr>
          <a:xfrm>
            <a:off x="357187" y="231661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31" name="CaixaDeTexto 30"/>
          <xdr:cNvSpPr txBox="1"/>
        </xdr:nvSpPr>
        <xdr:spPr>
          <a:xfrm>
            <a:off x="357187" y="250779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32" name="CaixaDeTexto 31"/>
          <xdr:cNvSpPr txBox="1"/>
        </xdr:nvSpPr>
        <xdr:spPr>
          <a:xfrm>
            <a:off x="357187" y="269897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33" name="CaixaDeTexto 32"/>
          <xdr:cNvSpPr txBox="1"/>
        </xdr:nvSpPr>
        <xdr:spPr>
          <a:xfrm>
            <a:off x="357187" y="346369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34" name="CaixaDeTexto 33"/>
          <xdr:cNvSpPr txBox="1"/>
        </xdr:nvSpPr>
        <xdr:spPr>
          <a:xfrm>
            <a:off x="357187" y="365487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35" name="CaixaDeTexto 34"/>
          <xdr:cNvSpPr txBox="1"/>
        </xdr:nvSpPr>
        <xdr:spPr>
          <a:xfrm>
            <a:off x="357187" y="384605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36" name="CaixaDeTexto 35"/>
          <xdr:cNvSpPr txBox="1"/>
        </xdr:nvSpPr>
        <xdr:spPr>
          <a:xfrm>
            <a:off x="357187" y="403723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37" name="CaixaDeTexto 36"/>
          <xdr:cNvSpPr txBox="1"/>
        </xdr:nvSpPr>
        <xdr:spPr>
          <a:xfrm>
            <a:off x="357187" y="422841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38" name="CaixaDeTexto 37"/>
          <xdr:cNvSpPr txBox="1"/>
        </xdr:nvSpPr>
        <xdr:spPr>
          <a:xfrm>
            <a:off x="357187" y="4419600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39" name="CaixaDeTexto 38"/>
          <xdr:cNvSpPr txBox="1"/>
        </xdr:nvSpPr>
        <xdr:spPr>
          <a:xfrm>
            <a:off x="357187" y="289015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40" name="CaixaDeTexto 39"/>
          <xdr:cNvSpPr txBox="1"/>
        </xdr:nvSpPr>
        <xdr:spPr>
          <a:xfrm>
            <a:off x="357187" y="308133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41" name="CaixaDeTexto 40"/>
          <xdr:cNvSpPr txBox="1"/>
        </xdr:nvSpPr>
        <xdr:spPr>
          <a:xfrm>
            <a:off x="357187" y="327251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</xdr:grpSp>
    <xdr:clientData/>
  </xdr:twoCellAnchor>
  <xdr:twoCellAnchor>
    <xdr:from>
      <xdr:col>0</xdr:col>
      <xdr:colOff>333375</xdr:colOff>
      <xdr:row>42</xdr:row>
      <xdr:rowOff>9525</xdr:rowOff>
    </xdr:from>
    <xdr:to>
      <xdr:col>1</xdr:col>
      <xdr:colOff>133</xdr:colOff>
      <xdr:row>57</xdr:row>
      <xdr:rowOff>30465</xdr:rowOff>
    </xdr:to>
    <xdr:grpSp>
      <xdr:nvGrpSpPr>
        <xdr:cNvPr id="58" name="Grupo 57"/>
        <xdr:cNvGrpSpPr/>
      </xdr:nvGrpSpPr>
      <xdr:grpSpPr>
        <a:xfrm>
          <a:off x="333375" y="8239125"/>
          <a:ext cx="276358" cy="2878440"/>
          <a:chOff x="357187" y="1743075"/>
          <a:chExt cx="276358" cy="2878440"/>
        </a:xfrm>
      </xdr:grpSpPr>
      <xdr:sp macro="" textlink="">
        <xdr:nvSpPr>
          <xdr:cNvPr id="59" name="CaixaDeTexto 58"/>
          <xdr:cNvSpPr txBox="1"/>
        </xdr:nvSpPr>
        <xdr:spPr>
          <a:xfrm>
            <a:off x="357187" y="174307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60" name="CaixaDeTexto 59"/>
          <xdr:cNvSpPr txBox="1"/>
        </xdr:nvSpPr>
        <xdr:spPr>
          <a:xfrm>
            <a:off x="357187" y="193425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61" name="CaixaDeTexto 60"/>
          <xdr:cNvSpPr txBox="1"/>
        </xdr:nvSpPr>
        <xdr:spPr>
          <a:xfrm>
            <a:off x="357187" y="212543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62" name="CaixaDeTexto 61"/>
          <xdr:cNvSpPr txBox="1"/>
        </xdr:nvSpPr>
        <xdr:spPr>
          <a:xfrm>
            <a:off x="357187" y="231661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63" name="CaixaDeTexto 62"/>
          <xdr:cNvSpPr txBox="1"/>
        </xdr:nvSpPr>
        <xdr:spPr>
          <a:xfrm>
            <a:off x="357187" y="250779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64" name="CaixaDeTexto 63"/>
          <xdr:cNvSpPr txBox="1"/>
        </xdr:nvSpPr>
        <xdr:spPr>
          <a:xfrm>
            <a:off x="357187" y="269897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65" name="CaixaDeTexto 64"/>
          <xdr:cNvSpPr txBox="1"/>
        </xdr:nvSpPr>
        <xdr:spPr>
          <a:xfrm>
            <a:off x="357187" y="346369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66" name="CaixaDeTexto 65"/>
          <xdr:cNvSpPr txBox="1"/>
        </xdr:nvSpPr>
        <xdr:spPr>
          <a:xfrm>
            <a:off x="357187" y="365487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67" name="CaixaDeTexto 66"/>
          <xdr:cNvSpPr txBox="1"/>
        </xdr:nvSpPr>
        <xdr:spPr>
          <a:xfrm>
            <a:off x="357187" y="384605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68" name="CaixaDeTexto 67"/>
          <xdr:cNvSpPr txBox="1"/>
        </xdr:nvSpPr>
        <xdr:spPr>
          <a:xfrm>
            <a:off x="357187" y="403723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69" name="CaixaDeTexto 68"/>
          <xdr:cNvSpPr txBox="1"/>
        </xdr:nvSpPr>
        <xdr:spPr>
          <a:xfrm>
            <a:off x="357187" y="422841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70" name="CaixaDeTexto 69"/>
          <xdr:cNvSpPr txBox="1"/>
        </xdr:nvSpPr>
        <xdr:spPr>
          <a:xfrm>
            <a:off x="357187" y="4419600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71" name="CaixaDeTexto 70"/>
          <xdr:cNvSpPr txBox="1"/>
        </xdr:nvSpPr>
        <xdr:spPr>
          <a:xfrm>
            <a:off x="357187" y="289015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72" name="CaixaDeTexto 71"/>
          <xdr:cNvSpPr txBox="1"/>
        </xdr:nvSpPr>
        <xdr:spPr>
          <a:xfrm>
            <a:off x="357187" y="308133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73" name="CaixaDeTexto 72"/>
          <xdr:cNvSpPr txBox="1"/>
        </xdr:nvSpPr>
        <xdr:spPr>
          <a:xfrm>
            <a:off x="357187" y="327251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</xdr:grpSp>
    <xdr:clientData/>
  </xdr:twoCellAnchor>
  <xdr:twoCellAnchor>
    <xdr:from>
      <xdr:col>0</xdr:col>
      <xdr:colOff>342900</xdr:colOff>
      <xdr:row>59</xdr:row>
      <xdr:rowOff>0</xdr:rowOff>
    </xdr:from>
    <xdr:to>
      <xdr:col>1</xdr:col>
      <xdr:colOff>9658</xdr:colOff>
      <xdr:row>74</xdr:row>
      <xdr:rowOff>20940</xdr:rowOff>
    </xdr:to>
    <xdr:grpSp>
      <xdr:nvGrpSpPr>
        <xdr:cNvPr id="74" name="Grupo 73"/>
        <xdr:cNvGrpSpPr/>
      </xdr:nvGrpSpPr>
      <xdr:grpSpPr>
        <a:xfrm>
          <a:off x="342900" y="11468100"/>
          <a:ext cx="276358" cy="2878440"/>
          <a:chOff x="357187" y="1743075"/>
          <a:chExt cx="276358" cy="2878440"/>
        </a:xfrm>
      </xdr:grpSpPr>
      <xdr:sp macro="" textlink="">
        <xdr:nvSpPr>
          <xdr:cNvPr id="75" name="CaixaDeTexto 74"/>
          <xdr:cNvSpPr txBox="1"/>
        </xdr:nvSpPr>
        <xdr:spPr>
          <a:xfrm>
            <a:off x="357187" y="174307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76" name="CaixaDeTexto 75"/>
          <xdr:cNvSpPr txBox="1"/>
        </xdr:nvSpPr>
        <xdr:spPr>
          <a:xfrm>
            <a:off x="357187" y="193425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77" name="CaixaDeTexto 76"/>
          <xdr:cNvSpPr txBox="1"/>
        </xdr:nvSpPr>
        <xdr:spPr>
          <a:xfrm>
            <a:off x="357187" y="212543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78" name="CaixaDeTexto 77"/>
          <xdr:cNvSpPr txBox="1"/>
        </xdr:nvSpPr>
        <xdr:spPr>
          <a:xfrm>
            <a:off x="357187" y="231661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79" name="CaixaDeTexto 78"/>
          <xdr:cNvSpPr txBox="1"/>
        </xdr:nvSpPr>
        <xdr:spPr>
          <a:xfrm>
            <a:off x="357187" y="250779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80" name="CaixaDeTexto 79"/>
          <xdr:cNvSpPr txBox="1"/>
        </xdr:nvSpPr>
        <xdr:spPr>
          <a:xfrm>
            <a:off x="357187" y="269897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81" name="CaixaDeTexto 80"/>
          <xdr:cNvSpPr txBox="1"/>
        </xdr:nvSpPr>
        <xdr:spPr>
          <a:xfrm>
            <a:off x="357187" y="346369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82" name="CaixaDeTexto 81"/>
          <xdr:cNvSpPr txBox="1"/>
        </xdr:nvSpPr>
        <xdr:spPr>
          <a:xfrm>
            <a:off x="357187" y="365487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83" name="CaixaDeTexto 82"/>
          <xdr:cNvSpPr txBox="1"/>
        </xdr:nvSpPr>
        <xdr:spPr>
          <a:xfrm>
            <a:off x="357187" y="384605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84" name="CaixaDeTexto 83"/>
          <xdr:cNvSpPr txBox="1"/>
        </xdr:nvSpPr>
        <xdr:spPr>
          <a:xfrm>
            <a:off x="357187" y="403723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85" name="CaixaDeTexto 84"/>
          <xdr:cNvSpPr txBox="1"/>
        </xdr:nvSpPr>
        <xdr:spPr>
          <a:xfrm>
            <a:off x="357187" y="422841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86" name="CaixaDeTexto 85"/>
          <xdr:cNvSpPr txBox="1"/>
        </xdr:nvSpPr>
        <xdr:spPr>
          <a:xfrm>
            <a:off x="357187" y="4419600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87" name="CaixaDeTexto 86"/>
          <xdr:cNvSpPr txBox="1"/>
        </xdr:nvSpPr>
        <xdr:spPr>
          <a:xfrm>
            <a:off x="357187" y="289015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88" name="CaixaDeTexto 87"/>
          <xdr:cNvSpPr txBox="1"/>
        </xdr:nvSpPr>
        <xdr:spPr>
          <a:xfrm>
            <a:off x="357187" y="308133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89" name="CaixaDeTexto 88"/>
          <xdr:cNvSpPr txBox="1"/>
        </xdr:nvSpPr>
        <xdr:spPr>
          <a:xfrm>
            <a:off x="357187" y="327251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</xdr:grpSp>
    <xdr:clientData/>
  </xdr:twoCellAnchor>
  <xdr:twoCellAnchor>
    <xdr:from>
      <xdr:col>0</xdr:col>
      <xdr:colOff>342900</xdr:colOff>
      <xdr:row>77</xdr:row>
      <xdr:rowOff>180975</xdr:rowOff>
    </xdr:from>
    <xdr:to>
      <xdr:col>1</xdr:col>
      <xdr:colOff>9658</xdr:colOff>
      <xdr:row>93</xdr:row>
      <xdr:rowOff>11415</xdr:rowOff>
    </xdr:to>
    <xdr:grpSp>
      <xdr:nvGrpSpPr>
        <xdr:cNvPr id="90" name="Grupo 89"/>
        <xdr:cNvGrpSpPr/>
      </xdr:nvGrpSpPr>
      <xdr:grpSpPr>
        <a:xfrm>
          <a:off x="342900" y="15078075"/>
          <a:ext cx="276358" cy="2878440"/>
          <a:chOff x="357187" y="1743075"/>
          <a:chExt cx="276358" cy="2878440"/>
        </a:xfrm>
      </xdr:grpSpPr>
      <xdr:sp macro="" textlink="">
        <xdr:nvSpPr>
          <xdr:cNvPr id="91" name="CaixaDeTexto 90"/>
          <xdr:cNvSpPr txBox="1"/>
        </xdr:nvSpPr>
        <xdr:spPr>
          <a:xfrm>
            <a:off x="357187" y="174307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92" name="CaixaDeTexto 91"/>
          <xdr:cNvSpPr txBox="1"/>
        </xdr:nvSpPr>
        <xdr:spPr>
          <a:xfrm>
            <a:off x="357187" y="193425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93" name="CaixaDeTexto 92"/>
          <xdr:cNvSpPr txBox="1"/>
        </xdr:nvSpPr>
        <xdr:spPr>
          <a:xfrm>
            <a:off x="357187" y="212543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94" name="CaixaDeTexto 93"/>
          <xdr:cNvSpPr txBox="1"/>
        </xdr:nvSpPr>
        <xdr:spPr>
          <a:xfrm>
            <a:off x="357187" y="231661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95" name="CaixaDeTexto 94"/>
          <xdr:cNvSpPr txBox="1"/>
        </xdr:nvSpPr>
        <xdr:spPr>
          <a:xfrm>
            <a:off x="357187" y="250779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96" name="CaixaDeTexto 95"/>
          <xdr:cNvSpPr txBox="1"/>
        </xdr:nvSpPr>
        <xdr:spPr>
          <a:xfrm>
            <a:off x="357187" y="269897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97" name="CaixaDeTexto 96"/>
          <xdr:cNvSpPr txBox="1"/>
        </xdr:nvSpPr>
        <xdr:spPr>
          <a:xfrm>
            <a:off x="357187" y="346369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98" name="CaixaDeTexto 97"/>
          <xdr:cNvSpPr txBox="1"/>
        </xdr:nvSpPr>
        <xdr:spPr>
          <a:xfrm>
            <a:off x="357187" y="365487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99" name="CaixaDeTexto 98"/>
          <xdr:cNvSpPr txBox="1"/>
        </xdr:nvSpPr>
        <xdr:spPr>
          <a:xfrm>
            <a:off x="357187" y="384605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100" name="CaixaDeTexto 99"/>
          <xdr:cNvSpPr txBox="1"/>
        </xdr:nvSpPr>
        <xdr:spPr>
          <a:xfrm>
            <a:off x="357187" y="403723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101" name="CaixaDeTexto 100"/>
          <xdr:cNvSpPr txBox="1"/>
        </xdr:nvSpPr>
        <xdr:spPr>
          <a:xfrm>
            <a:off x="357187" y="422841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102" name="CaixaDeTexto 101"/>
          <xdr:cNvSpPr txBox="1"/>
        </xdr:nvSpPr>
        <xdr:spPr>
          <a:xfrm>
            <a:off x="357187" y="4419600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103" name="CaixaDeTexto 102"/>
          <xdr:cNvSpPr txBox="1"/>
        </xdr:nvSpPr>
        <xdr:spPr>
          <a:xfrm>
            <a:off x="357187" y="289015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104" name="CaixaDeTexto 103"/>
          <xdr:cNvSpPr txBox="1"/>
        </xdr:nvSpPr>
        <xdr:spPr>
          <a:xfrm>
            <a:off x="357187" y="308133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105" name="CaixaDeTexto 104"/>
          <xdr:cNvSpPr txBox="1"/>
        </xdr:nvSpPr>
        <xdr:spPr>
          <a:xfrm>
            <a:off x="357187" y="327251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335016</xdr:colOff>
      <xdr:row>8</xdr:row>
      <xdr:rowOff>0</xdr:rowOff>
    </xdr:from>
    <xdr:to>
      <xdr:col>2</xdr:col>
      <xdr:colOff>460</xdr:colOff>
      <xdr:row>23</xdr:row>
      <xdr:rowOff>20940</xdr:rowOff>
    </xdr:to>
    <xdr:grpSp>
      <xdr:nvGrpSpPr>
        <xdr:cNvPr id="2" name="Grupo 1"/>
        <xdr:cNvGrpSpPr/>
      </xdr:nvGrpSpPr>
      <xdr:grpSpPr>
        <a:xfrm>
          <a:off x="945930" y="1799897"/>
          <a:ext cx="276358" cy="2878440"/>
          <a:chOff x="357187" y="1743075"/>
          <a:chExt cx="276358" cy="2878440"/>
        </a:xfrm>
      </xdr:grpSpPr>
      <xdr:sp macro="" textlink="">
        <xdr:nvSpPr>
          <xdr:cNvPr id="3" name="CaixaDeTexto 2"/>
          <xdr:cNvSpPr txBox="1"/>
        </xdr:nvSpPr>
        <xdr:spPr>
          <a:xfrm>
            <a:off x="357187" y="174307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4" name="CaixaDeTexto 3"/>
          <xdr:cNvSpPr txBox="1"/>
        </xdr:nvSpPr>
        <xdr:spPr>
          <a:xfrm>
            <a:off x="357187" y="193425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5" name="CaixaDeTexto 4"/>
          <xdr:cNvSpPr txBox="1"/>
        </xdr:nvSpPr>
        <xdr:spPr>
          <a:xfrm>
            <a:off x="357187" y="212543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6" name="CaixaDeTexto 5"/>
          <xdr:cNvSpPr txBox="1"/>
        </xdr:nvSpPr>
        <xdr:spPr>
          <a:xfrm>
            <a:off x="357187" y="231661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7" name="CaixaDeTexto 6"/>
          <xdr:cNvSpPr txBox="1"/>
        </xdr:nvSpPr>
        <xdr:spPr>
          <a:xfrm>
            <a:off x="357187" y="250779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8" name="CaixaDeTexto 7"/>
          <xdr:cNvSpPr txBox="1"/>
        </xdr:nvSpPr>
        <xdr:spPr>
          <a:xfrm>
            <a:off x="357187" y="269897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9" name="CaixaDeTexto 8"/>
          <xdr:cNvSpPr txBox="1"/>
        </xdr:nvSpPr>
        <xdr:spPr>
          <a:xfrm>
            <a:off x="357187" y="346369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10" name="CaixaDeTexto 9"/>
          <xdr:cNvSpPr txBox="1"/>
        </xdr:nvSpPr>
        <xdr:spPr>
          <a:xfrm>
            <a:off x="357187" y="365487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11" name="CaixaDeTexto 10"/>
          <xdr:cNvSpPr txBox="1"/>
        </xdr:nvSpPr>
        <xdr:spPr>
          <a:xfrm>
            <a:off x="357187" y="384605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12" name="CaixaDeTexto 11"/>
          <xdr:cNvSpPr txBox="1"/>
        </xdr:nvSpPr>
        <xdr:spPr>
          <a:xfrm>
            <a:off x="357187" y="403723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13" name="CaixaDeTexto 12"/>
          <xdr:cNvSpPr txBox="1"/>
        </xdr:nvSpPr>
        <xdr:spPr>
          <a:xfrm>
            <a:off x="357187" y="422841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14" name="CaixaDeTexto 13"/>
          <xdr:cNvSpPr txBox="1"/>
        </xdr:nvSpPr>
        <xdr:spPr>
          <a:xfrm>
            <a:off x="357187" y="4419600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15" name="CaixaDeTexto 14"/>
          <xdr:cNvSpPr txBox="1"/>
        </xdr:nvSpPr>
        <xdr:spPr>
          <a:xfrm>
            <a:off x="357187" y="289015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16" name="CaixaDeTexto 15"/>
          <xdr:cNvSpPr txBox="1"/>
        </xdr:nvSpPr>
        <xdr:spPr>
          <a:xfrm>
            <a:off x="357187" y="308133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17" name="CaixaDeTexto 16"/>
          <xdr:cNvSpPr txBox="1"/>
        </xdr:nvSpPr>
        <xdr:spPr>
          <a:xfrm>
            <a:off x="357187" y="327251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38</xdr:row>
      <xdr:rowOff>76200</xdr:rowOff>
    </xdr:from>
    <xdr:to>
      <xdr:col>17</xdr:col>
      <xdr:colOff>485775</xdr:colOff>
      <xdr:row>38</xdr:row>
      <xdr:rowOff>77788</xdr:rowOff>
    </xdr:to>
    <xdr:cxnSp macro="">
      <xdr:nvCxnSpPr>
        <xdr:cNvPr id="5" name="Conector de seta reta 4"/>
        <xdr:cNvCxnSpPr/>
      </xdr:nvCxnSpPr>
      <xdr:spPr>
        <a:xfrm>
          <a:off x="2533650" y="7581900"/>
          <a:ext cx="8315325" cy="1588"/>
        </a:xfrm>
        <a:prstGeom prst="straightConnector1">
          <a:avLst/>
        </a:prstGeom>
        <a:ln w="12700">
          <a:headEnd type="arrow"/>
          <a:tailEnd type="arrow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349250</xdr:colOff>
      <xdr:row>23</xdr:row>
      <xdr:rowOff>15875</xdr:rowOff>
    </xdr:from>
    <xdr:to>
      <xdr:col>2</xdr:col>
      <xdr:colOff>22358</xdr:colOff>
      <xdr:row>38</xdr:row>
      <xdr:rowOff>20940</xdr:rowOff>
    </xdr:to>
    <xdr:grpSp>
      <xdr:nvGrpSpPr>
        <xdr:cNvPr id="6" name="Grupo 5"/>
        <xdr:cNvGrpSpPr/>
      </xdr:nvGrpSpPr>
      <xdr:grpSpPr>
        <a:xfrm>
          <a:off x="958850" y="4673600"/>
          <a:ext cx="282708" cy="2872090"/>
          <a:chOff x="357187" y="1743075"/>
          <a:chExt cx="276358" cy="2878440"/>
        </a:xfrm>
      </xdr:grpSpPr>
      <xdr:sp macro="" textlink="">
        <xdr:nvSpPr>
          <xdr:cNvPr id="7" name="CaixaDeTexto 6"/>
          <xdr:cNvSpPr txBox="1"/>
        </xdr:nvSpPr>
        <xdr:spPr>
          <a:xfrm>
            <a:off x="357187" y="174307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8" name="CaixaDeTexto 7"/>
          <xdr:cNvSpPr txBox="1"/>
        </xdr:nvSpPr>
        <xdr:spPr>
          <a:xfrm>
            <a:off x="357187" y="193425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9" name="CaixaDeTexto 8"/>
          <xdr:cNvSpPr txBox="1"/>
        </xdr:nvSpPr>
        <xdr:spPr>
          <a:xfrm>
            <a:off x="357187" y="212543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10" name="CaixaDeTexto 9"/>
          <xdr:cNvSpPr txBox="1"/>
        </xdr:nvSpPr>
        <xdr:spPr>
          <a:xfrm>
            <a:off x="357187" y="231661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11" name="CaixaDeTexto 10"/>
          <xdr:cNvSpPr txBox="1"/>
        </xdr:nvSpPr>
        <xdr:spPr>
          <a:xfrm>
            <a:off x="357187" y="250779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12" name="CaixaDeTexto 11"/>
          <xdr:cNvSpPr txBox="1"/>
        </xdr:nvSpPr>
        <xdr:spPr>
          <a:xfrm>
            <a:off x="357187" y="269897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13" name="CaixaDeTexto 12"/>
          <xdr:cNvSpPr txBox="1"/>
        </xdr:nvSpPr>
        <xdr:spPr>
          <a:xfrm>
            <a:off x="357187" y="346369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14" name="CaixaDeTexto 13"/>
          <xdr:cNvSpPr txBox="1"/>
        </xdr:nvSpPr>
        <xdr:spPr>
          <a:xfrm>
            <a:off x="357187" y="365487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15" name="CaixaDeTexto 14"/>
          <xdr:cNvSpPr txBox="1"/>
        </xdr:nvSpPr>
        <xdr:spPr>
          <a:xfrm>
            <a:off x="357187" y="384605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16" name="CaixaDeTexto 15"/>
          <xdr:cNvSpPr txBox="1"/>
        </xdr:nvSpPr>
        <xdr:spPr>
          <a:xfrm>
            <a:off x="357187" y="403723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17" name="CaixaDeTexto 16"/>
          <xdr:cNvSpPr txBox="1"/>
        </xdr:nvSpPr>
        <xdr:spPr>
          <a:xfrm>
            <a:off x="357187" y="422841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18" name="CaixaDeTexto 17"/>
          <xdr:cNvSpPr txBox="1"/>
        </xdr:nvSpPr>
        <xdr:spPr>
          <a:xfrm>
            <a:off x="357187" y="4419600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19" name="CaixaDeTexto 18"/>
          <xdr:cNvSpPr txBox="1"/>
        </xdr:nvSpPr>
        <xdr:spPr>
          <a:xfrm>
            <a:off x="357187" y="289015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20" name="CaixaDeTexto 19"/>
          <xdr:cNvSpPr txBox="1"/>
        </xdr:nvSpPr>
        <xdr:spPr>
          <a:xfrm>
            <a:off x="357187" y="308133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21" name="CaixaDeTexto 20"/>
          <xdr:cNvSpPr txBox="1"/>
        </xdr:nvSpPr>
        <xdr:spPr>
          <a:xfrm>
            <a:off x="357187" y="327251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</xdr:grpSp>
    <xdr:clientData/>
  </xdr:twoCellAnchor>
  <xdr:twoCellAnchor>
    <xdr:from>
      <xdr:col>1</xdr:col>
      <xdr:colOff>358775</xdr:colOff>
      <xdr:row>5</xdr:row>
      <xdr:rowOff>25400</xdr:rowOff>
    </xdr:from>
    <xdr:to>
      <xdr:col>2</xdr:col>
      <xdr:colOff>31883</xdr:colOff>
      <xdr:row>20</xdr:row>
      <xdr:rowOff>20940</xdr:rowOff>
    </xdr:to>
    <xdr:grpSp>
      <xdr:nvGrpSpPr>
        <xdr:cNvPr id="22" name="Grupo 21"/>
        <xdr:cNvGrpSpPr/>
      </xdr:nvGrpSpPr>
      <xdr:grpSpPr>
        <a:xfrm>
          <a:off x="968375" y="1235075"/>
          <a:ext cx="282708" cy="2862565"/>
          <a:chOff x="357187" y="1743075"/>
          <a:chExt cx="276358" cy="2878440"/>
        </a:xfrm>
      </xdr:grpSpPr>
      <xdr:sp macro="" textlink="">
        <xdr:nvSpPr>
          <xdr:cNvPr id="23" name="CaixaDeTexto 22"/>
          <xdr:cNvSpPr txBox="1"/>
        </xdr:nvSpPr>
        <xdr:spPr>
          <a:xfrm>
            <a:off x="357187" y="174307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24" name="CaixaDeTexto 23"/>
          <xdr:cNvSpPr txBox="1"/>
        </xdr:nvSpPr>
        <xdr:spPr>
          <a:xfrm>
            <a:off x="357187" y="193425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25" name="CaixaDeTexto 24"/>
          <xdr:cNvSpPr txBox="1"/>
        </xdr:nvSpPr>
        <xdr:spPr>
          <a:xfrm>
            <a:off x="357187" y="212543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26" name="CaixaDeTexto 25"/>
          <xdr:cNvSpPr txBox="1"/>
        </xdr:nvSpPr>
        <xdr:spPr>
          <a:xfrm>
            <a:off x="357187" y="231661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27" name="CaixaDeTexto 26"/>
          <xdr:cNvSpPr txBox="1"/>
        </xdr:nvSpPr>
        <xdr:spPr>
          <a:xfrm>
            <a:off x="357187" y="250779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28" name="CaixaDeTexto 27"/>
          <xdr:cNvSpPr txBox="1"/>
        </xdr:nvSpPr>
        <xdr:spPr>
          <a:xfrm>
            <a:off x="357187" y="269897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29" name="CaixaDeTexto 28"/>
          <xdr:cNvSpPr txBox="1"/>
        </xdr:nvSpPr>
        <xdr:spPr>
          <a:xfrm>
            <a:off x="357187" y="346369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30" name="CaixaDeTexto 29"/>
          <xdr:cNvSpPr txBox="1"/>
        </xdr:nvSpPr>
        <xdr:spPr>
          <a:xfrm>
            <a:off x="357187" y="365487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31" name="CaixaDeTexto 30"/>
          <xdr:cNvSpPr txBox="1"/>
        </xdr:nvSpPr>
        <xdr:spPr>
          <a:xfrm>
            <a:off x="357187" y="384605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32" name="CaixaDeTexto 31"/>
          <xdr:cNvSpPr txBox="1"/>
        </xdr:nvSpPr>
        <xdr:spPr>
          <a:xfrm>
            <a:off x="357187" y="403723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33" name="CaixaDeTexto 32"/>
          <xdr:cNvSpPr txBox="1"/>
        </xdr:nvSpPr>
        <xdr:spPr>
          <a:xfrm>
            <a:off x="357187" y="422841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34" name="CaixaDeTexto 33"/>
          <xdr:cNvSpPr txBox="1"/>
        </xdr:nvSpPr>
        <xdr:spPr>
          <a:xfrm>
            <a:off x="357187" y="4419600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35" name="CaixaDeTexto 34"/>
          <xdr:cNvSpPr txBox="1"/>
        </xdr:nvSpPr>
        <xdr:spPr>
          <a:xfrm>
            <a:off x="357187" y="289015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36" name="CaixaDeTexto 35"/>
          <xdr:cNvSpPr txBox="1"/>
        </xdr:nvSpPr>
        <xdr:spPr>
          <a:xfrm>
            <a:off x="357187" y="308133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37" name="CaixaDeTexto 36"/>
          <xdr:cNvSpPr txBox="1"/>
        </xdr:nvSpPr>
        <xdr:spPr>
          <a:xfrm>
            <a:off x="357187" y="3272515"/>
            <a:ext cx="276358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pt-BR" sz="700" b="1"/>
              <a:t>Kg</a:t>
            </a: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820792</xdr:colOff>
      <xdr:row>4</xdr:row>
      <xdr:rowOff>9525</xdr:rowOff>
    </xdr:from>
    <xdr:to>
      <xdr:col>1</xdr:col>
      <xdr:colOff>1228726</xdr:colOff>
      <xdr:row>19</xdr:row>
      <xdr:rowOff>20940</xdr:rowOff>
    </xdr:to>
    <xdr:grpSp>
      <xdr:nvGrpSpPr>
        <xdr:cNvPr id="586" name="Grupo 585"/>
        <xdr:cNvGrpSpPr/>
      </xdr:nvGrpSpPr>
      <xdr:grpSpPr>
        <a:xfrm>
          <a:off x="1431706" y="883197"/>
          <a:ext cx="407934" cy="2868915"/>
          <a:chOff x="944616" y="952500"/>
          <a:chExt cx="1198969" cy="2868915"/>
        </a:xfrm>
      </xdr:grpSpPr>
      <xdr:sp macro="" textlink="">
        <xdr:nvSpPr>
          <xdr:cNvPr id="35" name="CaixaDeTexto 34"/>
          <xdr:cNvSpPr txBox="1"/>
        </xdr:nvSpPr>
        <xdr:spPr>
          <a:xfrm>
            <a:off x="944616" y="952500"/>
            <a:ext cx="1198969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no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50" name="CaixaDeTexto 49"/>
          <xdr:cNvSpPr txBox="1"/>
        </xdr:nvSpPr>
        <xdr:spPr>
          <a:xfrm>
            <a:off x="944616" y="1143000"/>
            <a:ext cx="1198969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no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51" name="CaixaDeTexto 50"/>
          <xdr:cNvSpPr txBox="1"/>
        </xdr:nvSpPr>
        <xdr:spPr>
          <a:xfrm>
            <a:off x="944616" y="1333500"/>
            <a:ext cx="1198969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no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52" name="CaixaDeTexto 51"/>
          <xdr:cNvSpPr txBox="1"/>
        </xdr:nvSpPr>
        <xdr:spPr>
          <a:xfrm>
            <a:off x="944616" y="1524000"/>
            <a:ext cx="1198969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no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53" name="CaixaDeTexto 52"/>
          <xdr:cNvSpPr txBox="1"/>
        </xdr:nvSpPr>
        <xdr:spPr>
          <a:xfrm>
            <a:off x="944616" y="1714500"/>
            <a:ext cx="1198969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no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54" name="CaixaDeTexto 53"/>
          <xdr:cNvSpPr txBox="1"/>
        </xdr:nvSpPr>
        <xdr:spPr>
          <a:xfrm>
            <a:off x="944616" y="1905000"/>
            <a:ext cx="1198969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no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55" name="CaixaDeTexto 54"/>
          <xdr:cNvSpPr txBox="1"/>
        </xdr:nvSpPr>
        <xdr:spPr>
          <a:xfrm>
            <a:off x="944616" y="2095500"/>
            <a:ext cx="1198969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no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56" name="CaixaDeTexto 55"/>
          <xdr:cNvSpPr txBox="1"/>
        </xdr:nvSpPr>
        <xdr:spPr>
          <a:xfrm>
            <a:off x="944616" y="2286000"/>
            <a:ext cx="1198969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no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57" name="CaixaDeTexto 56"/>
          <xdr:cNvSpPr txBox="1"/>
        </xdr:nvSpPr>
        <xdr:spPr>
          <a:xfrm>
            <a:off x="944616" y="2476500"/>
            <a:ext cx="1198969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no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58" name="CaixaDeTexto 57"/>
          <xdr:cNvSpPr txBox="1"/>
        </xdr:nvSpPr>
        <xdr:spPr>
          <a:xfrm>
            <a:off x="944616" y="2667000"/>
            <a:ext cx="1198969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no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59" name="CaixaDeTexto 58"/>
          <xdr:cNvSpPr txBox="1"/>
        </xdr:nvSpPr>
        <xdr:spPr>
          <a:xfrm>
            <a:off x="944616" y="2857500"/>
            <a:ext cx="1198969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no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60" name="CaixaDeTexto 59"/>
          <xdr:cNvSpPr txBox="1"/>
        </xdr:nvSpPr>
        <xdr:spPr>
          <a:xfrm>
            <a:off x="944616" y="3048000"/>
            <a:ext cx="1198969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no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61" name="CaixaDeTexto 60"/>
          <xdr:cNvSpPr txBox="1"/>
        </xdr:nvSpPr>
        <xdr:spPr>
          <a:xfrm>
            <a:off x="944616" y="3238500"/>
            <a:ext cx="1198969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no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62" name="CaixaDeTexto 61"/>
          <xdr:cNvSpPr txBox="1"/>
        </xdr:nvSpPr>
        <xdr:spPr>
          <a:xfrm>
            <a:off x="944616" y="3429000"/>
            <a:ext cx="1198969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noAutofit/>
          </a:bodyPr>
          <a:lstStyle/>
          <a:p>
            <a:r>
              <a:rPr lang="pt-BR" sz="700" b="1"/>
              <a:t>Kg</a:t>
            </a:r>
          </a:p>
        </xdr:txBody>
      </xdr:sp>
      <xdr:sp macro="" textlink="">
        <xdr:nvSpPr>
          <xdr:cNvPr id="63" name="CaixaDeTexto 62"/>
          <xdr:cNvSpPr txBox="1"/>
        </xdr:nvSpPr>
        <xdr:spPr>
          <a:xfrm>
            <a:off x="944616" y="3619500"/>
            <a:ext cx="1198969" cy="201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noAutofit/>
          </a:bodyPr>
          <a:lstStyle/>
          <a:p>
            <a:r>
              <a:rPr lang="pt-BR" sz="700" b="1"/>
              <a:t>Kg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1"/>
  <sheetViews>
    <sheetView view="pageBreakPreview" zoomScaleSheetLayoutView="100" workbookViewId="0">
      <selection activeCell="G5" sqref="G5"/>
    </sheetView>
  </sheetViews>
  <sheetFormatPr defaultRowHeight="15"/>
  <cols>
    <col min="1" max="1" width="16.28515625" style="1" bestFit="1" customWidth="1"/>
    <col min="2" max="2" width="7.5703125" style="2" bestFit="1" customWidth="1"/>
    <col min="3" max="6" width="8" style="2" bestFit="1" customWidth="1"/>
    <col min="7" max="9" width="7.5703125" style="2" bestFit="1" customWidth="1"/>
    <col min="10" max="17" width="8" style="2" bestFit="1" customWidth="1"/>
    <col min="18" max="21" width="7.5703125" style="2" bestFit="1" customWidth="1"/>
    <col min="22" max="24" width="8" style="2" bestFit="1" customWidth="1"/>
    <col min="25" max="25" width="9.140625" style="1"/>
  </cols>
  <sheetData>
    <row r="1" spans="1:26">
      <c r="E1" s="74" t="s">
        <v>40</v>
      </c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</row>
    <row r="2" spans="1:26" ht="15.75" thickBot="1"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6" ht="22.5" customHeight="1">
      <c r="A3" s="4" t="s">
        <v>0</v>
      </c>
      <c r="B3" s="31">
        <v>0.01</v>
      </c>
      <c r="C3" s="31">
        <v>0.02</v>
      </c>
      <c r="D3" s="31">
        <v>0.03</v>
      </c>
      <c r="E3" s="31">
        <v>0.04</v>
      </c>
      <c r="F3" s="31">
        <v>0.05</v>
      </c>
      <c r="G3" s="31">
        <v>0.1</v>
      </c>
      <c r="H3" s="31">
        <v>0.12</v>
      </c>
      <c r="I3" s="31">
        <v>0.15</v>
      </c>
      <c r="J3" s="31">
        <v>0.2</v>
      </c>
      <c r="K3" s="31">
        <v>0.25</v>
      </c>
      <c r="L3" s="31">
        <v>0.3</v>
      </c>
      <c r="M3" s="31">
        <v>0.35</v>
      </c>
      <c r="N3" s="31">
        <v>0.4</v>
      </c>
      <c r="O3" s="31">
        <v>0.45</v>
      </c>
      <c r="P3" s="31">
        <v>0.5</v>
      </c>
      <c r="Q3" s="31">
        <v>0.8</v>
      </c>
      <c r="R3" s="31">
        <v>1</v>
      </c>
      <c r="S3" s="31">
        <v>1.2</v>
      </c>
      <c r="T3" s="31">
        <v>1.5</v>
      </c>
      <c r="U3" s="31">
        <v>1.8</v>
      </c>
      <c r="V3" s="31">
        <v>2</v>
      </c>
      <c r="W3" s="31">
        <v>2.5</v>
      </c>
      <c r="X3" s="31">
        <v>3</v>
      </c>
      <c r="Y3" s="33"/>
      <c r="Z3" s="19"/>
    </row>
    <row r="4" spans="1:26" ht="30" customHeight="1">
      <c r="A4" s="32">
        <v>50</v>
      </c>
      <c r="B4" s="29">
        <f>B$3*($A4*60)/200</f>
        <v>0.15</v>
      </c>
      <c r="C4" s="29">
        <f>C$3*($A4*60)/200</f>
        <v>0.3</v>
      </c>
      <c r="D4" s="29">
        <f>D$3*($A4*60)/200</f>
        <v>0.45</v>
      </c>
      <c r="E4" s="29">
        <f>E$3*($A4*60)/200</f>
        <v>0.6</v>
      </c>
      <c r="F4" s="30">
        <f>F$3*(A4*60)/200</f>
        <v>0.75</v>
      </c>
      <c r="G4" s="30">
        <f>G$3*(A4*60)/200</f>
        <v>1.5</v>
      </c>
      <c r="H4" s="30">
        <f>H$3*(A4*60)/200</f>
        <v>1.8</v>
      </c>
      <c r="I4" s="30">
        <f>I$3*($A4*60)/200</f>
        <v>2.25</v>
      </c>
      <c r="J4" s="30">
        <f t="shared" ref="J4:X4" si="0">J$3*($A4*60)/200</f>
        <v>3</v>
      </c>
      <c r="K4" s="30">
        <f t="shared" si="0"/>
        <v>3.75</v>
      </c>
      <c r="L4" s="30">
        <f t="shared" si="0"/>
        <v>4.5</v>
      </c>
      <c r="M4" s="30">
        <f t="shared" si="0"/>
        <v>5.25</v>
      </c>
      <c r="N4" s="30">
        <f t="shared" si="0"/>
        <v>6</v>
      </c>
      <c r="O4" s="30">
        <f t="shared" si="0"/>
        <v>6.75</v>
      </c>
      <c r="P4" s="30">
        <f t="shared" si="0"/>
        <v>7.5</v>
      </c>
      <c r="Q4" s="30">
        <f t="shared" si="0"/>
        <v>12</v>
      </c>
      <c r="R4" s="30">
        <f t="shared" si="0"/>
        <v>15</v>
      </c>
      <c r="S4" s="30">
        <f t="shared" si="0"/>
        <v>18</v>
      </c>
      <c r="T4" s="30">
        <f t="shared" si="0"/>
        <v>22.5</v>
      </c>
      <c r="U4" s="30">
        <f t="shared" si="0"/>
        <v>27</v>
      </c>
      <c r="V4" s="30">
        <f t="shared" si="0"/>
        <v>30</v>
      </c>
      <c r="W4" s="30">
        <f t="shared" si="0"/>
        <v>37.5</v>
      </c>
      <c r="X4" s="30">
        <f t="shared" si="0"/>
        <v>45</v>
      </c>
      <c r="Y4" s="34" t="s">
        <v>1</v>
      </c>
      <c r="Z4" s="20"/>
    </row>
    <row r="5" spans="1:26" ht="30" customHeight="1">
      <c r="A5" s="32">
        <v>55</v>
      </c>
      <c r="B5" s="29">
        <f t="shared" ref="B5:B17" si="1">B$3*($A5*60)/200</f>
        <v>0.16500000000000001</v>
      </c>
      <c r="C5" s="29">
        <f t="shared" ref="C5:C18" si="2">C$3*($A5*60)/200</f>
        <v>0.33</v>
      </c>
      <c r="D5" s="29">
        <f t="shared" ref="D5:D18" si="3">D$3*($A5*60)/200</f>
        <v>0.495</v>
      </c>
      <c r="E5" s="29">
        <f t="shared" ref="E5:E18" si="4">E$3*($A5*60)/200</f>
        <v>0.66</v>
      </c>
      <c r="F5" s="30">
        <f t="shared" ref="F5:F18" si="5">F$3*(A5*60)/200</f>
        <v>0.82499999999999996</v>
      </c>
      <c r="G5" s="30">
        <f t="shared" ref="G5:G18" si="6">G$3*(A5*60)/200</f>
        <v>1.65</v>
      </c>
      <c r="H5" s="30">
        <f>H$3*(A5*60)/200</f>
        <v>1.98</v>
      </c>
      <c r="I5" s="30">
        <f t="shared" ref="I5:X18" si="7">I$3*($A5*60)/200</f>
        <v>2.4750000000000001</v>
      </c>
      <c r="J5" s="30">
        <f t="shared" si="7"/>
        <v>3.3</v>
      </c>
      <c r="K5" s="30">
        <f t="shared" si="7"/>
        <v>4.125</v>
      </c>
      <c r="L5" s="30">
        <f t="shared" si="7"/>
        <v>4.95</v>
      </c>
      <c r="M5" s="30">
        <f t="shared" si="7"/>
        <v>5.7750000000000004</v>
      </c>
      <c r="N5" s="30">
        <f t="shared" si="7"/>
        <v>6.6</v>
      </c>
      <c r="O5" s="30">
        <f t="shared" si="7"/>
        <v>7.4249999999999998</v>
      </c>
      <c r="P5" s="30">
        <f t="shared" si="7"/>
        <v>8.25</v>
      </c>
      <c r="Q5" s="30">
        <f t="shared" si="7"/>
        <v>13.2</v>
      </c>
      <c r="R5" s="30">
        <f t="shared" si="7"/>
        <v>16.5</v>
      </c>
      <c r="S5" s="30">
        <f t="shared" si="7"/>
        <v>19.8</v>
      </c>
      <c r="T5" s="30">
        <f t="shared" si="7"/>
        <v>24.75</v>
      </c>
      <c r="U5" s="30">
        <f t="shared" si="7"/>
        <v>29.7</v>
      </c>
      <c r="V5" s="30">
        <f t="shared" si="7"/>
        <v>33</v>
      </c>
      <c r="W5" s="30">
        <f t="shared" si="7"/>
        <v>41.25</v>
      </c>
      <c r="X5" s="30">
        <f t="shared" si="7"/>
        <v>49.5</v>
      </c>
      <c r="Y5" s="34" t="s">
        <v>1</v>
      </c>
      <c r="Z5" s="20"/>
    </row>
    <row r="6" spans="1:26" ht="30" customHeight="1">
      <c r="A6" s="32">
        <v>60</v>
      </c>
      <c r="B6" s="29">
        <f t="shared" si="1"/>
        <v>0.18</v>
      </c>
      <c r="C6" s="29">
        <f t="shared" si="2"/>
        <v>0.36</v>
      </c>
      <c r="D6" s="29">
        <f t="shared" si="3"/>
        <v>0.54</v>
      </c>
      <c r="E6" s="29">
        <f t="shared" si="4"/>
        <v>0.72</v>
      </c>
      <c r="F6" s="30">
        <f t="shared" si="5"/>
        <v>0.9</v>
      </c>
      <c r="G6" s="30">
        <f t="shared" si="6"/>
        <v>1.8</v>
      </c>
      <c r="H6" s="30">
        <f t="shared" ref="H6:H18" si="8">H$3*(A6*60)/200</f>
        <v>2.16</v>
      </c>
      <c r="I6" s="30">
        <f t="shared" si="7"/>
        <v>2.7</v>
      </c>
      <c r="J6" s="30">
        <f t="shared" si="7"/>
        <v>3.6</v>
      </c>
      <c r="K6" s="30">
        <f t="shared" si="7"/>
        <v>4.5</v>
      </c>
      <c r="L6" s="30">
        <f t="shared" si="7"/>
        <v>5.4</v>
      </c>
      <c r="M6" s="30">
        <f t="shared" si="7"/>
        <v>6.3</v>
      </c>
      <c r="N6" s="30">
        <f t="shared" si="7"/>
        <v>7.2</v>
      </c>
      <c r="O6" s="30">
        <f t="shared" si="7"/>
        <v>8.1</v>
      </c>
      <c r="P6" s="30">
        <f t="shared" si="7"/>
        <v>9</v>
      </c>
      <c r="Q6" s="30">
        <f t="shared" si="7"/>
        <v>14.4</v>
      </c>
      <c r="R6" s="30">
        <f t="shared" si="7"/>
        <v>18</v>
      </c>
      <c r="S6" s="30">
        <f t="shared" si="7"/>
        <v>21.6</v>
      </c>
      <c r="T6" s="30">
        <f t="shared" si="7"/>
        <v>27</v>
      </c>
      <c r="U6" s="30">
        <f t="shared" si="7"/>
        <v>32.4</v>
      </c>
      <c r="V6" s="30">
        <f t="shared" si="7"/>
        <v>36</v>
      </c>
      <c r="W6" s="30">
        <f t="shared" si="7"/>
        <v>45</v>
      </c>
      <c r="X6" s="30">
        <f t="shared" si="7"/>
        <v>54</v>
      </c>
      <c r="Y6" s="34" t="s">
        <v>1</v>
      </c>
      <c r="Z6" s="20"/>
    </row>
    <row r="7" spans="1:26" ht="30" customHeight="1">
      <c r="A7" s="32">
        <v>65</v>
      </c>
      <c r="B7" s="29">
        <f t="shared" si="1"/>
        <v>0.19500000000000001</v>
      </c>
      <c r="C7" s="29">
        <f t="shared" si="2"/>
        <v>0.39</v>
      </c>
      <c r="D7" s="29">
        <f t="shared" si="3"/>
        <v>0.58499999999999996</v>
      </c>
      <c r="E7" s="29">
        <f t="shared" si="4"/>
        <v>0.78</v>
      </c>
      <c r="F7" s="30">
        <f t="shared" si="5"/>
        <v>0.97499999999999998</v>
      </c>
      <c r="G7" s="30">
        <f t="shared" si="6"/>
        <v>1.95</v>
      </c>
      <c r="H7" s="30">
        <f t="shared" si="8"/>
        <v>2.34</v>
      </c>
      <c r="I7" s="30">
        <f t="shared" si="7"/>
        <v>2.9249999999999998</v>
      </c>
      <c r="J7" s="30">
        <f t="shared" si="7"/>
        <v>3.9</v>
      </c>
      <c r="K7" s="30">
        <f t="shared" si="7"/>
        <v>4.875</v>
      </c>
      <c r="L7" s="30">
        <f t="shared" si="7"/>
        <v>5.85</v>
      </c>
      <c r="M7" s="30">
        <f t="shared" si="7"/>
        <v>6.8250000000000002</v>
      </c>
      <c r="N7" s="30">
        <f t="shared" si="7"/>
        <v>7.8</v>
      </c>
      <c r="O7" s="30">
        <f t="shared" si="7"/>
        <v>8.7750000000000004</v>
      </c>
      <c r="P7" s="30">
        <f t="shared" si="7"/>
        <v>9.75</v>
      </c>
      <c r="Q7" s="30">
        <f t="shared" si="7"/>
        <v>15.6</v>
      </c>
      <c r="R7" s="30">
        <f t="shared" si="7"/>
        <v>19.5</v>
      </c>
      <c r="S7" s="30">
        <f t="shared" si="7"/>
        <v>23.4</v>
      </c>
      <c r="T7" s="30">
        <f t="shared" si="7"/>
        <v>29.25</v>
      </c>
      <c r="U7" s="30">
        <f t="shared" si="7"/>
        <v>35.1</v>
      </c>
      <c r="V7" s="30">
        <f t="shared" si="7"/>
        <v>39</v>
      </c>
      <c r="W7" s="30">
        <f t="shared" si="7"/>
        <v>48.75</v>
      </c>
      <c r="X7" s="30">
        <f t="shared" si="7"/>
        <v>58.5</v>
      </c>
      <c r="Y7" s="34" t="s">
        <v>1</v>
      </c>
      <c r="Z7" s="20"/>
    </row>
    <row r="8" spans="1:26" ht="30" customHeight="1">
      <c r="A8" s="32">
        <v>70</v>
      </c>
      <c r="B8" s="29">
        <f t="shared" si="1"/>
        <v>0.21</v>
      </c>
      <c r="C8" s="29">
        <f t="shared" si="2"/>
        <v>0.42</v>
      </c>
      <c r="D8" s="29">
        <f t="shared" si="3"/>
        <v>0.63</v>
      </c>
      <c r="E8" s="29">
        <f t="shared" si="4"/>
        <v>0.84</v>
      </c>
      <c r="F8" s="30">
        <f t="shared" si="5"/>
        <v>1.05</v>
      </c>
      <c r="G8" s="30">
        <f t="shared" si="6"/>
        <v>2.1</v>
      </c>
      <c r="H8" s="30">
        <f t="shared" si="8"/>
        <v>2.52</v>
      </c>
      <c r="I8" s="30">
        <f t="shared" si="7"/>
        <v>3.15</v>
      </c>
      <c r="J8" s="30">
        <f t="shared" si="7"/>
        <v>4.2</v>
      </c>
      <c r="K8" s="30">
        <f t="shared" si="7"/>
        <v>5.25</v>
      </c>
      <c r="L8" s="30">
        <f t="shared" si="7"/>
        <v>6.3</v>
      </c>
      <c r="M8" s="30">
        <f t="shared" si="7"/>
        <v>7.35</v>
      </c>
      <c r="N8" s="30">
        <f t="shared" si="7"/>
        <v>8.4</v>
      </c>
      <c r="O8" s="30">
        <f t="shared" si="7"/>
        <v>9.4499999999999993</v>
      </c>
      <c r="P8" s="30">
        <f t="shared" si="7"/>
        <v>10.5</v>
      </c>
      <c r="Q8" s="30">
        <f t="shared" si="7"/>
        <v>16.8</v>
      </c>
      <c r="R8" s="30">
        <f t="shared" si="7"/>
        <v>21</v>
      </c>
      <c r="S8" s="30">
        <f t="shared" si="7"/>
        <v>25.2</v>
      </c>
      <c r="T8" s="30">
        <f t="shared" si="7"/>
        <v>31.5</v>
      </c>
      <c r="U8" s="30">
        <f t="shared" si="7"/>
        <v>37.799999999999997</v>
      </c>
      <c r="V8" s="30">
        <f t="shared" si="7"/>
        <v>42</v>
      </c>
      <c r="W8" s="30">
        <f t="shared" si="7"/>
        <v>52.5</v>
      </c>
      <c r="X8" s="30">
        <f t="shared" si="7"/>
        <v>63</v>
      </c>
      <c r="Y8" s="34" t="s">
        <v>1</v>
      </c>
      <c r="Z8" s="20"/>
    </row>
    <row r="9" spans="1:26" ht="30" customHeight="1">
      <c r="A9" s="32">
        <v>75</v>
      </c>
      <c r="B9" s="29">
        <f t="shared" si="1"/>
        <v>0.22500000000000001</v>
      </c>
      <c r="C9" s="29">
        <f t="shared" si="2"/>
        <v>0.45</v>
      </c>
      <c r="D9" s="29">
        <f t="shared" si="3"/>
        <v>0.67500000000000004</v>
      </c>
      <c r="E9" s="29">
        <f t="shared" si="4"/>
        <v>0.9</v>
      </c>
      <c r="F9" s="30">
        <f t="shared" si="5"/>
        <v>1.125</v>
      </c>
      <c r="G9" s="30">
        <f t="shared" si="6"/>
        <v>2.25</v>
      </c>
      <c r="H9" s="30">
        <f t="shared" si="8"/>
        <v>2.7</v>
      </c>
      <c r="I9" s="30">
        <f t="shared" si="7"/>
        <v>3.375</v>
      </c>
      <c r="J9" s="30">
        <f t="shared" si="7"/>
        <v>4.5</v>
      </c>
      <c r="K9" s="30">
        <f t="shared" si="7"/>
        <v>5.625</v>
      </c>
      <c r="L9" s="30">
        <f t="shared" si="7"/>
        <v>6.75</v>
      </c>
      <c r="M9" s="30">
        <f t="shared" si="7"/>
        <v>7.875</v>
      </c>
      <c r="N9" s="30">
        <f t="shared" si="7"/>
        <v>9</v>
      </c>
      <c r="O9" s="30">
        <f t="shared" si="7"/>
        <v>10.125</v>
      </c>
      <c r="P9" s="30">
        <f t="shared" si="7"/>
        <v>11.25</v>
      </c>
      <c r="Q9" s="30">
        <f t="shared" si="7"/>
        <v>18</v>
      </c>
      <c r="R9" s="30">
        <f t="shared" si="7"/>
        <v>22.5</v>
      </c>
      <c r="S9" s="30">
        <f t="shared" si="7"/>
        <v>27</v>
      </c>
      <c r="T9" s="30">
        <f t="shared" si="7"/>
        <v>33.75</v>
      </c>
      <c r="U9" s="30">
        <f t="shared" si="7"/>
        <v>40.5</v>
      </c>
      <c r="V9" s="30">
        <f t="shared" si="7"/>
        <v>45</v>
      </c>
      <c r="W9" s="30">
        <f t="shared" si="7"/>
        <v>56.25</v>
      </c>
      <c r="X9" s="30">
        <f t="shared" si="7"/>
        <v>67.5</v>
      </c>
      <c r="Y9" s="34" t="s">
        <v>1</v>
      </c>
      <c r="Z9" s="20"/>
    </row>
    <row r="10" spans="1:26" ht="30" customHeight="1">
      <c r="A10" s="32">
        <v>80</v>
      </c>
      <c r="B10" s="29">
        <f t="shared" si="1"/>
        <v>0.24</v>
      </c>
      <c r="C10" s="29">
        <f t="shared" si="2"/>
        <v>0.48</v>
      </c>
      <c r="D10" s="29">
        <f t="shared" si="3"/>
        <v>0.72</v>
      </c>
      <c r="E10" s="29">
        <f t="shared" si="4"/>
        <v>0.96</v>
      </c>
      <c r="F10" s="30">
        <f t="shared" si="5"/>
        <v>1.2</v>
      </c>
      <c r="G10" s="30">
        <f t="shared" si="6"/>
        <v>2.4</v>
      </c>
      <c r="H10" s="30">
        <f t="shared" si="8"/>
        <v>2.88</v>
      </c>
      <c r="I10" s="30">
        <f t="shared" si="7"/>
        <v>3.6</v>
      </c>
      <c r="J10" s="30">
        <f t="shared" si="7"/>
        <v>4.8</v>
      </c>
      <c r="K10" s="30">
        <f t="shared" si="7"/>
        <v>6</v>
      </c>
      <c r="L10" s="30">
        <f t="shared" si="7"/>
        <v>7.2</v>
      </c>
      <c r="M10" s="30">
        <f t="shared" si="7"/>
        <v>8.4</v>
      </c>
      <c r="N10" s="30">
        <f t="shared" si="7"/>
        <v>9.6</v>
      </c>
      <c r="O10" s="30">
        <f t="shared" si="7"/>
        <v>10.8</v>
      </c>
      <c r="P10" s="30">
        <f t="shared" si="7"/>
        <v>12</v>
      </c>
      <c r="Q10" s="30">
        <f t="shared" si="7"/>
        <v>19.2</v>
      </c>
      <c r="R10" s="30">
        <f t="shared" si="7"/>
        <v>24</v>
      </c>
      <c r="S10" s="30">
        <f t="shared" si="7"/>
        <v>28.8</v>
      </c>
      <c r="T10" s="30">
        <f t="shared" si="7"/>
        <v>36</v>
      </c>
      <c r="U10" s="30">
        <f t="shared" si="7"/>
        <v>43.2</v>
      </c>
      <c r="V10" s="30">
        <f t="shared" si="7"/>
        <v>48</v>
      </c>
      <c r="W10" s="30">
        <f t="shared" si="7"/>
        <v>60</v>
      </c>
      <c r="X10" s="30">
        <f t="shared" si="7"/>
        <v>72</v>
      </c>
      <c r="Y10" s="34" t="s">
        <v>1</v>
      </c>
      <c r="Z10" s="20"/>
    </row>
    <row r="11" spans="1:26" ht="30" customHeight="1">
      <c r="A11" s="32">
        <v>85</v>
      </c>
      <c r="B11" s="29">
        <f t="shared" si="1"/>
        <v>0.255</v>
      </c>
      <c r="C11" s="29">
        <f t="shared" si="2"/>
        <v>0.51</v>
      </c>
      <c r="D11" s="29">
        <f t="shared" si="3"/>
        <v>0.76500000000000001</v>
      </c>
      <c r="E11" s="29">
        <f t="shared" si="4"/>
        <v>1.02</v>
      </c>
      <c r="F11" s="30">
        <f t="shared" si="5"/>
        <v>1.2749999999999999</v>
      </c>
      <c r="G11" s="30">
        <f t="shared" si="6"/>
        <v>2.5499999999999998</v>
      </c>
      <c r="H11" s="30">
        <f t="shared" si="8"/>
        <v>3.06</v>
      </c>
      <c r="I11" s="30">
        <f t="shared" si="7"/>
        <v>3.8250000000000002</v>
      </c>
      <c r="J11" s="30">
        <f t="shared" si="7"/>
        <v>5.0999999999999996</v>
      </c>
      <c r="K11" s="30">
        <f t="shared" si="7"/>
        <v>6.375</v>
      </c>
      <c r="L11" s="30">
        <f t="shared" si="7"/>
        <v>7.65</v>
      </c>
      <c r="M11" s="30">
        <f t="shared" si="7"/>
        <v>8.9250000000000007</v>
      </c>
      <c r="N11" s="30">
        <f t="shared" si="7"/>
        <v>10.199999999999999</v>
      </c>
      <c r="O11" s="30">
        <f t="shared" si="7"/>
        <v>11.475</v>
      </c>
      <c r="P11" s="30">
        <f t="shared" si="7"/>
        <v>12.75</v>
      </c>
      <c r="Q11" s="30">
        <f t="shared" si="7"/>
        <v>20.399999999999999</v>
      </c>
      <c r="R11" s="30">
        <f t="shared" si="7"/>
        <v>25.5</v>
      </c>
      <c r="S11" s="30">
        <f t="shared" si="7"/>
        <v>30.6</v>
      </c>
      <c r="T11" s="30">
        <f t="shared" si="7"/>
        <v>38.25</v>
      </c>
      <c r="U11" s="30">
        <f t="shared" si="7"/>
        <v>45.9</v>
      </c>
      <c r="V11" s="30">
        <f t="shared" si="7"/>
        <v>51</v>
      </c>
      <c r="W11" s="30">
        <f t="shared" si="7"/>
        <v>63.75</v>
      </c>
      <c r="X11" s="30">
        <f t="shared" si="7"/>
        <v>76.5</v>
      </c>
      <c r="Y11" s="34" t="s">
        <v>1</v>
      </c>
      <c r="Z11" s="20"/>
    </row>
    <row r="12" spans="1:26" ht="30" customHeight="1">
      <c r="A12" s="32">
        <v>90</v>
      </c>
      <c r="B12" s="29">
        <f t="shared" si="1"/>
        <v>0.27</v>
      </c>
      <c r="C12" s="29">
        <f t="shared" si="2"/>
        <v>0.54</v>
      </c>
      <c r="D12" s="29">
        <f t="shared" si="3"/>
        <v>0.81</v>
      </c>
      <c r="E12" s="29">
        <f t="shared" si="4"/>
        <v>1.08</v>
      </c>
      <c r="F12" s="30">
        <f t="shared" si="5"/>
        <v>1.35</v>
      </c>
      <c r="G12" s="30">
        <f t="shared" si="6"/>
        <v>2.7</v>
      </c>
      <c r="H12" s="30">
        <f t="shared" si="8"/>
        <v>3.24</v>
      </c>
      <c r="I12" s="30">
        <f t="shared" si="7"/>
        <v>4.05</v>
      </c>
      <c r="J12" s="30">
        <f t="shared" si="7"/>
        <v>5.4</v>
      </c>
      <c r="K12" s="30">
        <f t="shared" si="7"/>
        <v>6.75</v>
      </c>
      <c r="L12" s="30">
        <f t="shared" si="7"/>
        <v>8.1</v>
      </c>
      <c r="M12" s="30">
        <f t="shared" si="7"/>
        <v>9.4499999999999993</v>
      </c>
      <c r="N12" s="30">
        <f t="shared" si="7"/>
        <v>10.8</v>
      </c>
      <c r="O12" s="30">
        <f t="shared" si="7"/>
        <v>12.15</v>
      </c>
      <c r="P12" s="30">
        <f t="shared" si="7"/>
        <v>13.5</v>
      </c>
      <c r="Q12" s="30">
        <f t="shared" si="7"/>
        <v>21.6</v>
      </c>
      <c r="R12" s="30">
        <f t="shared" si="7"/>
        <v>27</v>
      </c>
      <c r="S12" s="30">
        <f t="shared" si="7"/>
        <v>32.4</v>
      </c>
      <c r="T12" s="30">
        <f t="shared" si="7"/>
        <v>40.5</v>
      </c>
      <c r="U12" s="30">
        <f t="shared" si="7"/>
        <v>48.6</v>
      </c>
      <c r="V12" s="30">
        <f t="shared" si="7"/>
        <v>54</v>
      </c>
      <c r="W12" s="30">
        <f t="shared" si="7"/>
        <v>67.5</v>
      </c>
      <c r="X12" s="30">
        <f t="shared" si="7"/>
        <v>81</v>
      </c>
      <c r="Y12" s="34" t="s">
        <v>1</v>
      </c>
      <c r="Z12" s="20"/>
    </row>
    <row r="13" spans="1:26" ht="30" customHeight="1">
      <c r="A13" s="32">
        <v>95</v>
      </c>
      <c r="B13" s="29">
        <f t="shared" si="1"/>
        <v>0.28499999999999998</v>
      </c>
      <c r="C13" s="29">
        <f t="shared" si="2"/>
        <v>0.56999999999999995</v>
      </c>
      <c r="D13" s="29">
        <f t="shared" si="3"/>
        <v>0.85499999999999998</v>
      </c>
      <c r="E13" s="29">
        <f t="shared" si="4"/>
        <v>1.1399999999999999</v>
      </c>
      <c r="F13" s="30">
        <f t="shared" si="5"/>
        <v>1.425</v>
      </c>
      <c r="G13" s="30">
        <f t="shared" si="6"/>
        <v>2.85</v>
      </c>
      <c r="H13" s="30">
        <f t="shared" si="8"/>
        <v>3.42</v>
      </c>
      <c r="I13" s="30">
        <f t="shared" si="7"/>
        <v>4.2750000000000004</v>
      </c>
      <c r="J13" s="30">
        <f t="shared" si="7"/>
        <v>5.7</v>
      </c>
      <c r="K13" s="30">
        <f t="shared" si="7"/>
        <v>7.125</v>
      </c>
      <c r="L13" s="30">
        <f t="shared" si="7"/>
        <v>8.5500000000000007</v>
      </c>
      <c r="M13" s="30">
        <f t="shared" si="7"/>
        <v>9.9749999999999996</v>
      </c>
      <c r="N13" s="30">
        <f t="shared" si="7"/>
        <v>11.4</v>
      </c>
      <c r="O13" s="30">
        <f t="shared" si="7"/>
        <v>12.824999999999999</v>
      </c>
      <c r="P13" s="30">
        <f t="shared" si="7"/>
        <v>14.25</v>
      </c>
      <c r="Q13" s="30">
        <f t="shared" si="7"/>
        <v>22.8</v>
      </c>
      <c r="R13" s="30">
        <f t="shared" si="7"/>
        <v>28.5</v>
      </c>
      <c r="S13" s="30">
        <f t="shared" si="7"/>
        <v>34.200000000000003</v>
      </c>
      <c r="T13" s="30">
        <f t="shared" si="7"/>
        <v>42.75</v>
      </c>
      <c r="U13" s="30">
        <f t="shared" si="7"/>
        <v>51.3</v>
      </c>
      <c r="V13" s="30">
        <f t="shared" si="7"/>
        <v>57</v>
      </c>
      <c r="W13" s="30">
        <f t="shared" si="7"/>
        <v>71.25</v>
      </c>
      <c r="X13" s="30">
        <f t="shared" si="7"/>
        <v>85.5</v>
      </c>
      <c r="Y13" s="34" t="s">
        <v>1</v>
      </c>
      <c r="Z13" s="20"/>
    </row>
    <row r="14" spans="1:26" ht="30" customHeight="1">
      <c r="A14" s="32">
        <v>100</v>
      </c>
      <c r="B14" s="29">
        <f t="shared" si="1"/>
        <v>0.3</v>
      </c>
      <c r="C14" s="29">
        <f t="shared" si="2"/>
        <v>0.6</v>
      </c>
      <c r="D14" s="29">
        <f t="shared" si="3"/>
        <v>0.9</v>
      </c>
      <c r="E14" s="29">
        <f t="shared" si="4"/>
        <v>1.2</v>
      </c>
      <c r="F14" s="30">
        <f t="shared" si="5"/>
        <v>1.5</v>
      </c>
      <c r="G14" s="30">
        <f t="shared" si="6"/>
        <v>3</v>
      </c>
      <c r="H14" s="30">
        <f t="shared" si="8"/>
        <v>3.6</v>
      </c>
      <c r="I14" s="30">
        <f t="shared" si="7"/>
        <v>4.5</v>
      </c>
      <c r="J14" s="30">
        <f t="shared" si="7"/>
        <v>6</v>
      </c>
      <c r="K14" s="30">
        <f t="shared" si="7"/>
        <v>7.5</v>
      </c>
      <c r="L14" s="30">
        <f t="shared" si="7"/>
        <v>9</v>
      </c>
      <c r="M14" s="30">
        <f t="shared" si="7"/>
        <v>10.5</v>
      </c>
      <c r="N14" s="30">
        <f t="shared" si="7"/>
        <v>12</v>
      </c>
      <c r="O14" s="30">
        <f t="shared" si="7"/>
        <v>13.5</v>
      </c>
      <c r="P14" s="30">
        <f t="shared" si="7"/>
        <v>15</v>
      </c>
      <c r="Q14" s="30">
        <f t="shared" si="7"/>
        <v>24</v>
      </c>
      <c r="R14" s="30">
        <f t="shared" si="7"/>
        <v>30</v>
      </c>
      <c r="S14" s="30">
        <f t="shared" si="7"/>
        <v>36</v>
      </c>
      <c r="T14" s="30">
        <f t="shared" si="7"/>
        <v>45</v>
      </c>
      <c r="U14" s="30">
        <f t="shared" si="7"/>
        <v>54</v>
      </c>
      <c r="V14" s="30">
        <f t="shared" si="7"/>
        <v>60</v>
      </c>
      <c r="W14" s="30">
        <f t="shared" si="7"/>
        <v>75</v>
      </c>
      <c r="X14" s="30">
        <f t="shared" si="7"/>
        <v>90</v>
      </c>
      <c r="Y14" s="34" t="s">
        <v>1</v>
      </c>
      <c r="Z14" s="20"/>
    </row>
    <row r="15" spans="1:26" ht="30" customHeight="1">
      <c r="A15" s="32">
        <v>105</v>
      </c>
      <c r="B15" s="29">
        <f t="shared" si="1"/>
        <v>0.315</v>
      </c>
      <c r="C15" s="29">
        <f t="shared" si="2"/>
        <v>0.63</v>
      </c>
      <c r="D15" s="29">
        <f t="shared" si="3"/>
        <v>0.94499999999999995</v>
      </c>
      <c r="E15" s="29">
        <f t="shared" si="4"/>
        <v>1.26</v>
      </c>
      <c r="F15" s="30">
        <f t="shared" si="5"/>
        <v>1.575</v>
      </c>
      <c r="G15" s="30">
        <f t="shared" si="6"/>
        <v>3.15</v>
      </c>
      <c r="H15" s="30">
        <f t="shared" si="8"/>
        <v>3.78</v>
      </c>
      <c r="I15" s="30">
        <f t="shared" si="7"/>
        <v>4.7249999999999996</v>
      </c>
      <c r="J15" s="30">
        <f t="shared" si="7"/>
        <v>6.3</v>
      </c>
      <c r="K15" s="30">
        <f t="shared" si="7"/>
        <v>7.875</v>
      </c>
      <c r="L15" s="30">
        <f t="shared" si="7"/>
        <v>9.4499999999999993</v>
      </c>
      <c r="M15" s="30">
        <f t="shared" si="7"/>
        <v>11.025</v>
      </c>
      <c r="N15" s="30">
        <f t="shared" si="7"/>
        <v>12.6</v>
      </c>
      <c r="O15" s="30">
        <f t="shared" si="7"/>
        <v>14.175000000000001</v>
      </c>
      <c r="P15" s="30">
        <f t="shared" si="7"/>
        <v>15.75</v>
      </c>
      <c r="Q15" s="30">
        <f t="shared" si="7"/>
        <v>25.2</v>
      </c>
      <c r="R15" s="30">
        <f t="shared" si="7"/>
        <v>31.5</v>
      </c>
      <c r="S15" s="30">
        <f t="shared" si="7"/>
        <v>37.799999999999997</v>
      </c>
      <c r="T15" s="30">
        <f t="shared" si="7"/>
        <v>47.25</v>
      </c>
      <c r="U15" s="30">
        <f t="shared" si="7"/>
        <v>56.7</v>
      </c>
      <c r="V15" s="30">
        <f t="shared" si="7"/>
        <v>63</v>
      </c>
      <c r="W15" s="30">
        <f t="shared" si="7"/>
        <v>78.75</v>
      </c>
      <c r="X15" s="30">
        <f t="shared" si="7"/>
        <v>94.5</v>
      </c>
      <c r="Y15" s="34" t="s">
        <v>1</v>
      </c>
      <c r="Z15" s="20"/>
    </row>
    <row r="16" spans="1:26" ht="30" customHeight="1">
      <c r="A16" s="32">
        <v>110</v>
      </c>
      <c r="B16" s="29">
        <f t="shared" si="1"/>
        <v>0.33</v>
      </c>
      <c r="C16" s="29">
        <f t="shared" si="2"/>
        <v>0.66</v>
      </c>
      <c r="D16" s="29">
        <f t="shared" si="3"/>
        <v>0.99</v>
      </c>
      <c r="E16" s="29">
        <f t="shared" si="4"/>
        <v>1.32</v>
      </c>
      <c r="F16" s="30">
        <f t="shared" si="5"/>
        <v>1.65</v>
      </c>
      <c r="G16" s="30">
        <f t="shared" si="6"/>
        <v>3.3</v>
      </c>
      <c r="H16" s="30">
        <f t="shared" si="8"/>
        <v>3.96</v>
      </c>
      <c r="I16" s="30">
        <f t="shared" si="7"/>
        <v>4.95</v>
      </c>
      <c r="J16" s="30">
        <f t="shared" si="7"/>
        <v>6.6</v>
      </c>
      <c r="K16" s="30">
        <f t="shared" si="7"/>
        <v>8.25</v>
      </c>
      <c r="L16" s="30">
        <f t="shared" si="7"/>
        <v>9.9</v>
      </c>
      <c r="M16" s="30">
        <f t="shared" si="7"/>
        <v>11.55</v>
      </c>
      <c r="N16" s="30">
        <f t="shared" si="7"/>
        <v>13.2</v>
      </c>
      <c r="O16" s="30">
        <f t="shared" si="7"/>
        <v>14.85</v>
      </c>
      <c r="P16" s="30">
        <f t="shared" si="7"/>
        <v>16.5</v>
      </c>
      <c r="Q16" s="30">
        <f t="shared" si="7"/>
        <v>26.4</v>
      </c>
      <c r="R16" s="30">
        <f t="shared" si="7"/>
        <v>33</v>
      </c>
      <c r="S16" s="30">
        <f t="shared" si="7"/>
        <v>39.6</v>
      </c>
      <c r="T16" s="30">
        <f t="shared" si="7"/>
        <v>49.5</v>
      </c>
      <c r="U16" s="30">
        <f t="shared" si="7"/>
        <v>59.4</v>
      </c>
      <c r="V16" s="30">
        <f t="shared" si="7"/>
        <v>66</v>
      </c>
      <c r="W16" s="30">
        <f t="shared" si="7"/>
        <v>82.5</v>
      </c>
      <c r="X16" s="30">
        <f t="shared" si="7"/>
        <v>99</v>
      </c>
      <c r="Y16" s="34" t="s">
        <v>1</v>
      </c>
      <c r="Z16" s="20"/>
    </row>
    <row r="17" spans="1:26" ht="30" customHeight="1">
      <c r="A17" s="32">
        <v>115</v>
      </c>
      <c r="B17" s="29">
        <f t="shared" si="1"/>
        <v>0.34499999999999997</v>
      </c>
      <c r="C17" s="29">
        <f t="shared" si="2"/>
        <v>0.69</v>
      </c>
      <c r="D17" s="29">
        <f t="shared" si="3"/>
        <v>1.0349999999999999</v>
      </c>
      <c r="E17" s="29">
        <f t="shared" si="4"/>
        <v>1.38</v>
      </c>
      <c r="F17" s="30">
        <f t="shared" si="5"/>
        <v>1.7250000000000001</v>
      </c>
      <c r="G17" s="30">
        <f t="shared" si="6"/>
        <v>3.45</v>
      </c>
      <c r="H17" s="30">
        <f t="shared" si="8"/>
        <v>4.1399999999999997</v>
      </c>
      <c r="I17" s="30">
        <f t="shared" si="7"/>
        <v>5.1749999999999998</v>
      </c>
      <c r="J17" s="30">
        <f t="shared" si="7"/>
        <v>6.9</v>
      </c>
      <c r="K17" s="30">
        <f t="shared" si="7"/>
        <v>8.625</v>
      </c>
      <c r="L17" s="30">
        <f t="shared" si="7"/>
        <v>10.35</v>
      </c>
      <c r="M17" s="30">
        <f t="shared" si="7"/>
        <v>12.074999999999999</v>
      </c>
      <c r="N17" s="30">
        <f t="shared" si="7"/>
        <v>13.8</v>
      </c>
      <c r="O17" s="30">
        <f t="shared" si="7"/>
        <v>15.525</v>
      </c>
      <c r="P17" s="30">
        <f t="shared" si="7"/>
        <v>17.25</v>
      </c>
      <c r="Q17" s="30">
        <f t="shared" si="7"/>
        <v>27.6</v>
      </c>
      <c r="R17" s="30">
        <f t="shared" si="7"/>
        <v>34.5</v>
      </c>
      <c r="S17" s="30">
        <f t="shared" si="7"/>
        <v>41.4</v>
      </c>
      <c r="T17" s="30">
        <f t="shared" si="7"/>
        <v>51.75</v>
      </c>
      <c r="U17" s="30">
        <f t="shared" si="7"/>
        <v>62.1</v>
      </c>
      <c r="V17" s="30">
        <f t="shared" si="7"/>
        <v>69</v>
      </c>
      <c r="W17" s="30">
        <f t="shared" si="7"/>
        <v>86.25</v>
      </c>
      <c r="X17" s="30">
        <f t="shared" si="7"/>
        <v>103.5</v>
      </c>
      <c r="Y17" s="34" t="s">
        <v>1</v>
      </c>
      <c r="Z17" s="20"/>
    </row>
    <row r="18" spans="1:26" ht="30" customHeight="1">
      <c r="A18" s="32">
        <v>120</v>
      </c>
      <c r="B18" s="29">
        <f>B$3*($A18*60)/200</f>
        <v>0.36</v>
      </c>
      <c r="C18" s="29">
        <f t="shared" si="2"/>
        <v>0.72</v>
      </c>
      <c r="D18" s="29">
        <f t="shared" si="3"/>
        <v>1.08</v>
      </c>
      <c r="E18" s="29">
        <f t="shared" si="4"/>
        <v>1.44</v>
      </c>
      <c r="F18" s="30">
        <f t="shared" si="5"/>
        <v>1.8</v>
      </c>
      <c r="G18" s="30">
        <f t="shared" si="6"/>
        <v>3.6</v>
      </c>
      <c r="H18" s="30">
        <f t="shared" si="8"/>
        <v>4.32</v>
      </c>
      <c r="I18" s="30">
        <f t="shared" si="7"/>
        <v>5.4</v>
      </c>
      <c r="J18" s="30">
        <f t="shared" si="7"/>
        <v>7.2</v>
      </c>
      <c r="K18" s="30">
        <f t="shared" si="7"/>
        <v>9</v>
      </c>
      <c r="L18" s="30">
        <f t="shared" si="7"/>
        <v>10.8</v>
      </c>
      <c r="M18" s="30">
        <f t="shared" si="7"/>
        <v>12.6</v>
      </c>
      <c r="N18" s="30">
        <f t="shared" si="7"/>
        <v>14.4</v>
      </c>
      <c r="O18" s="30">
        <f t="shared" si="7"/>
        <v>16.2</v>
      </c>
      <c r="P18" s="30">
        <f t="shared" si="7"/>
        <v>18</v>
      </c>
      <c r="Q18" s="30">
        <f t="shared" si="7"/>
        <v>28.8</v>
      </c>
      <c r="R18" s="30">
        <f t="shared" si="7"/>
        <v>36</v>
      </c>
      <c r="S18" s="30">
        <f t="shared" si="7"/>
        <v>43.2</v>
      </c>
      <c r="T18" s="30">
        <f t="shared" si="7"/>
        <v>54</v>
      </c>
      <c r="U18" s="30">
        <f t="shared" si="7"/>
        <v>64.8</v>
      </c>
      <c r="V18" s="30">
        <f t="shared" si="7"/>
        <v>72</v>
      </c>
      <c r="W18" s="30">
        <f t="shared" si="7"/>
        <v>90</v>
      </c>
      <c r="X18" s="30">
        <f t="shared" si="7"/>
        <v>108</v>
      </c>
      <c r="Y18" s="34" t="s">
        <v>1</v>
      </c>
      <c r="Z18" s="20"/>
    </row>
    <row r="19" spans="1:26" ht="30" customHeight="1" thickBot="1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 t="s">
        <v>2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5"/>
      <c r="Z19" s="20"/>
    </row>
    <row r="20" spans="1:26" ht="22.5" customHeight="1">
      <c r="A20" s="36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8"/>
      <c r="Z20" s="20"/>
    </row>
    <row r="21" spans="1:26" ht="15.75" thickBot="1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9"/>
      <c r="Z21" s="3"/>
    </row>
  </sheetData>
  <mergeCells count="1">
    <mergeCell ref="E1:U2"/>
  </mergeCells>
  <conditionalFormatting sqref="B4:X18">
    <cfRule type="colorScale" priority="7">
      <colorScale>
        <cfvo type="min" val="0"/>
        <cfvo type="percentile" val="50"/>
        <cfvo type="max" val="0"/>
        <color rgb="FF00B0F0"/>
        <color rgb="FFFFEB84"/>
        <color rgb="FFFF0000"/>
      </colorScale>
    </cfRule>
  </conditionalFormatting>
  <printOptions horizontalCentered="1" verticalCentered="1"/>
  <pageMargins left="0.25" right="0.25" top="0.75" bottom="0.75" header="0.3" footer="0.3"/>
  <pageSetup paperSize="9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20"/>
  <sheetViews>
    <sheetView view="pageBreakPreview" zoomScaleSheetLayoutView="100" workbookViewId="0">
      <selection activeCell="Q20" sqref="Q20"/>
    </sheetView>
  </sheetViews>
  <sheetFormatPr defaultRowHeight="15"/>
  <cols>
    <col min="1" max="1" width="16.140625" style="12" bestFit="1" customWidth="1"/>
    <col min="2" max="26" width="8.5703125" style="12" customWidth="1"/>
    <col min="27" max="27" width="5.28515625" style="12" bestFit="1" customWidth="1"/>
    <col min="28" max="16384" width="9.140625" style="12"/>
  </cols>
  <sheetData>
    <row r="1" spans="1:27">
      <c r="F1" s="80" t="s">
        <v>39</v>
      </c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2"/>
    </row>
    <row r="2" spans="1:27" ht="15.75" thickBot="1">
      <c r="F2" s="83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5"/>
    </row>
    <row r="3" spans="1:27" ht="30" customHeight="1">
      <c r="A3" s="4" t="s">
        <v>0</v>
      </c>
      <c r="B3" s="5">
        <v>0.5</v>
      </c>
      <c r="C3" s="5">
        <v>0.6</v>
      </c>
      <c r="D3" s="5">
        <v>0.7</v>
      </c>
      <c r="E3" s="5">
        <v>0.8</v>
      </c>
      <c r="F3" s="5">
        <v>0.9</v>
      </c>
      <c r="G3" s="5">
        <v>1</v>
      </c>
      <c r="H3" s="5">
        <v>1.2</v>
      </c>
      <c r="I3" s="5">
        <v>1.5</v>
      </c>
      <c r="J3" s="5">
        <v>2</v>
      </c>
      <c r="K3" s="5">
        <v>2.5</v>
      </c>
      <c r="L3" s="5">
        <v>3</v>
      </c>
      <c r="M3" s="5">
        <v>3.5</v>
      </c>
      <c r="N3" s="5">
        <v>4</v>
      </c>
      <c r="O3" s="5">
        <v>4.5</v>
      </c>
      <c r="P3" s="5">
        <v>5</v>
      </c>
      <c r="Q3" s="5">
        <v>5.5</v>
      </c>
      <c r="R3" s="5">
        <v>6</v>
      </c>
      <c r="S3" s="5">
        <v>6.5</v>
      </c>
      <c r="T3" s="5">
        <v>7</v>
      </c>
      <c r="U3" s="5">
        <v>7.5</v>
      </c>
      <c r="V3" s="5">
        <v>8</v>
      </c>
      <c r="W3" s="5">
        <v>8.5</v>
      </c>
      <c r="X3" s="5">
        <v>9</v>
      </c>
      <c r="Y3" s="14">
        <v>9.5</v>
      </c>
      <c r="Z3" s="14">
        <v>10</v>
      </c>
      <c r="AA3" s="6"/>
    </row>
    <row r="4" spans="1:27" ht="30" customHeight="1">
      <c r="A4" s="7">
        <v>50</v>
      </c>
      <c r="B4" s="27">
        <f>B$3*($A4*60)/500</f>
        <v>3</v>
      </c>
      <c r="C4" s="27">
        <f t="shared" ref="C4:Z15" si="0">C$3*($A4*60)/500</f>
        <v>3.6</v>
      </c>
      <c r="D4" s="27">
        <f t="shared" si="0"/>
        <v>4.2</v>
      </c>
      <c r="E4" s="27">
        <f t="shared" si="0"/>
        <v>4.8</v>
      </c>
      <c r="F4" s="27">
        <f t="shared" si="0"/>
        <v>5.4</v>
      </c>
      <c r="G4" s="27">
        <f t="shared" si="0"/>
        <v>6</v>
      </c>
      <c r="H4" s="27">
        <f t="shared" si="0"/>
        <v>7.2</v>
      </c>
      <c r="I4" s="27">
        <f t="shared" si="0"/>
        <v>9</v>
      </c>
      <c r="J4" s="27">
        <f t="shared" si="0"/>
        <v>12</v>
      </c>
      <c r="K4" s="27">
        <f t="shared" si="0"/>
        <v>15</v>
      </c>
      <c r="L4" s="27">
        <f t="shared" si="0"/>
        <v>18</v>
      </c>
      <c r="M4" s="27">
        <f t="shared" si="0"/>
        <v>21</v>
      </c>
      <c r="N4" s="27">
        <f t="shared" si="0"/>
        <v>24</v>
      </c>
      <c r="O4" s="27">
        <f t="shared" si="0"/>
        <v>27</v>
      </c>
      <c r="P4" s="27">
        <f t="shared" si="0"/>
        <v>30</v>
      </c>
      <c r="Q4" s="27">
        <f t="shared" si="0"/>
        <v>33</v>
      </c>
      <c r="R4" s="27">
        <f t="shared" si="0"/>
        <v>36</v>
      </c>
      <c r="S4" s="27">
        <f t="shared" si="0"/>
        <v>39</v>
      </c>
      <c r="T4" s="27">
        <f t="shared" si="0"/>
        <v>42</v>
      </c>
      <c r="U4" s="27">
        <f t="shared" si="0"/>
        <v>45</v>
      </c>
      <c r="V4" s="27">
        <f t="shared" si="0"/>
        <v>48</v>
      </c>
      <c r="W4" s="27">
        <f t="shared" si="0"/>
        <v>51</v>
      </c>
      <c r="X4" s="27">
        <f t="shared" si="0"/>
        <v>54</v>
      </c>
      <c r="Y4" s="27">
        <f t="shared" si="0"/>
        <v>57</v>
      </c>
      <c r="Z4" s="27">
        <f t="shared" si="0"/>
        <v>60</v>
      </c>
      <c r="AA4" s="8" t="s">
        <v>1</v>
      </c>
    </row>
    <row r="5" spans="1:27" ht="30" customHeight="1">
      <c r="A5" s="7">
        <v>55</v>
      </c>
      <c r="B5" s="27">
        <f t="shared" ref="B5:Q18" si="1">B$3*($A5*60)/500</f>
        <v>3.3</v>
      </c>
      <c r="C5" s="27">
        <f t="shared" si="1"/>
        <v>3.96</v>
      </c>
      <c r="D5" s="27">
        <f t="shared" si="1"/>
        <v>4.62</v>
      </c>
      <c r="E5" s="27">
        <f t="shared" si="1"/>
        <v>5.28</v>
      </c>
      <c r="F5" s="27">
        <f t="shared" si="1"/>
        <v>5.94</v>
      </c>
      <c r="G5" s="27">
        <f t="shared" si="1"/>
        <v>6.6</v>
      </c>
      <c r="H5" s="27">
        <f t="shared" si="1"/>
        <v>7.92</v>
      </c>
      <c r="I5" s="27">
        <f t="shared" si="1"/>
        <v>9.9</v>
      </c>
      <c r="J5" s="27">
        <f t="shared" si="1"/>
        <v>13.2</v>
      </c>
      <c r="K5" s="27">
        <f t="shared" si="1"/>
        <v>16.5</v>
      </c>
      <c r="L5" s="27">
        <f t="shared" si="1"/>
        <v>19.8</v>
      </c>
      <c r="M5" s="27">
        <f t="shared" si="1"/>
        <v>23.1</v>
      </c>
      <c r="N5" s="27">
        <f t="shared" si="1"/>
        <v>26.4</v>
      </c>
      <c r="O5" s="27">
        <f t="shared" si="1"/>
        <v>29.7</v>
      </c>
      <c r="P5" s="27">
        <f t="shared" si="1"/>
        <v>33</v>
      </c>
      <c r="Q5" s="27">
        <f t="shared" si="1"/>
        <v>36.299999999999997</v>
      </c>
      <c r="R5" s="27">
        <f t="shared" si="0"/>
        <v>39.6</v>
      </c>
      <c r="S5" s="27">
        <f t="shared" si="0"/>
        <v>42.9</v>
      </c>
      <c r="T5" s="27">
        <f t="shared" si="0"/>
        <v>46.2</v>
      </c>
      <c r="U5" s="27">
        <f t="shared" si="0"/>
        <v>49.5</v>
      </c>
      <c r="V5" s="27">
        <f t="shared" si="0"/>
        <v>52.8</v>
      </c>
      <c r="W5" s="27">
        <f t="shared" si="0"/>
        <v>56.1</v>
      </c>
      <c r="X5" s="27">
        <f t="shared" si="0"/>
        <v>59.4</v>
      </c>
      <c r="Y5" s="27">
        <f t="shared" si="0"/>
        <v>62.7</v>
      </c>
      <c r="Z5" s="27">
        <f t="shared" si="0"/>
        <v>66</v>
      </c>
      <c r="AA5" s="8" t="s">
        <v>1</v>
      </c>
    </row>
    <row r="6" spans="1:27" ht="30" customHeight="1">
      <c r="A6" s="7">
        <v>60</v>
      </c>
      <c r="B6" s="27">
        <f t="shared" si="1"/>
        <v>3.6</v>
      </c>
      <c r="C6" s="27">
        <f t="shared" si="0"/>
        <v>4.32</v>
      </c>
      <c r="D6" s="27">
        <f t="shared" si="0"/>
        <v>5.04</v>
      </c>
      <c r="E6" s="27">
        <f t="shared" si="0"/>
        <v>5.76</v>
      </c>
      <c r="F6" s="27">
        <f t="shared" si="0"/>
        <v>6.48</v>
      </c>
      <c r="G6" s="27">
        <f t="shared" si="0"/>
        <v>7.2</v>
      </c>
      <c r="H6" s="27">
        <f t="shared" si="0"/>
        <v>8.64</v>
      </c>
      <c r="I6" s="27">
        <f t="shared" si="0"/>
        <v>10.8</v>
      </c>
      <c r="J6" s="27">
        <f t="shared" si="0"/>
        <v>14.4</v>
      </c>
      <c r="K6" s="27">
        <f t="shared" si="0"/>
        <v>18</v>
      </c>
      <c r="L6" s="27">
        <f t="shared" si="0"/>
        <v>21.6</v>
      </c>
      <c r="M6" s="27">
        <f t="shared" si="0"/>
        <v>25.2</v>
      </c>
      <c r="N6" s="27">
        <f t="shared" si="0"/>
        <v>28.8</v>
      </c>
      <c r="O6" s="27">
        <f t="shared" si="0"/>
        <v>32.4</v>
      </c>
      <c r="P6" s="27">
        <f t="shared" si="0"/>
        <v>36</v>
      </c>
      <c r="Q6" s="27">
        <f t="shared" si="0"/>
        <v>39.6</v>
      </c>
      <c r="R6" s="27">
        <f t="shared" si="0"/>
        <v>43.2</v>
      </c>
      <c r="S6" s="27">
        <f t="shared" si="0"/>
        <v>46.8</v>
      </c>
      <c r="T6" s="27">
        <f t="shared" si="0"/>
        <v>50.4</v>
      </c>
      <c r="U6" s="27">
        <f t="shared" si="0"/>
        <v>54</v>
      </c>
      <c r="V6" s="27">
        <f t="shared" si="0"/>
        <v>57.6</v>
      </c>
      <c r="W6" s="27">
        <f t="shared" si="0"/>
        <v>61.2</v>
      </c>
      <c r="X6" s="27">
        <f t="shared" si="0"/>
        <v>64.8</v>
      </c>
      <c r="Y6" s="27">
        <f t="shared" si="0"/>
        <v>68.400000000000006</v>
      </c>
      <c r="Z6" s="27">
        <f t="shared" si="0"/>
        <v>72</v>
      </c>
      <c r="AA6" s="8" t="s">
        <v>1</v>
      </c>
    </row>
    <row r="7" spans="1:27" ht="30" customHeight="1">
      <c r="A7" s="7">
        <v>65</v>
      </c>
      <c r="B7" s="27">
        <f t="shared" si="1"/>
        <v>3.9</v>
      </c>
      <c r="C7" s="27">
        <f t="shared" si="0"/>
        <v>4.68</v>
      </c>
      <c r="D7" s="27">
        <f t="shared" si="0"/>
        <v>5.46</v>
      </c>
      <c r="E7" s="27">
        <f t="shared" si="0"/>
        <v>6.24</v>
      </c>
      <c r="F7" s="27">
        <f t="shared" si="0"/>
        <v>7.02</v>
      </c>
      <c r="G7" s="27">
        <f t="shared" si="0"/>
        <v>7.8</v>
      </c>
      <c r="H7" s="27">
        <f t="shared" si="0"/>
        <v>9.36</v>
      </c>
      <c r="I7" s="27">
        <f t="shared" si="0"/>
        <v>11.7</v>
      </c>
      <c r="J7" s="27">
        <f t="shared" si="0"/>
        <v>15.6</v>
      </c>
      <c r="K7" s="27">
        <f t="shared" si="0"/>
        <v>19.5</v>
      </c>
      <c r="L7" s="27">
        <f t="shared" si="0"/>
        <v>23.4</v>
      </c>
      <c r="M7" s="27">
        <f t="shared" si="0"/>
        <v>27.3</v>
      </c>
      <c r="N7" s="27">
        <f t="shared" si="0"/>
        <v>31.2</v>
      </c>
      <c r="O7" s="27">
        <f t="shared" si="0"/>
        <v>35.1</v>
      </c>
      <c r="P7" s="27">
        <f t="shared" si="0"/>
        <v>39</v>
      </c>
      <c r="Q7" s="27">
        <f t="shared" si="0"/>
        <v>42.9</v>
      </c>
      <c r="R7" s="27">
        <f t="shared" si="0"/>
        <v>46.8</v>
      </c>
      <c r="S7" s="27">
        <f t="shared" si="0"/>
        <v>50.7</v>
      </c>
      <c r="T7" s="27">
        <f t="shared" si="0"/>
        <v>54.6</v>
      </c>
      <c r="U7" s="27">
        <f t="shared" si="0"/>
        <v>58.5</v>
      </c>
      <c r="V7" s="27">
        <f t="shared" si="0"/>
        <v>62.4</v>
      </c>
      <c r="W7" s="27">
        <f t="shared" si="0"/>
        <v>66.3</v>
      </c>
      <c r="X7" s="27">
        <f t="shared" si="0"/>
        <v>70.2</v>
      </c>
      <c r="Y7" s="27">
        <f t="shared" si="0"/>
        <v>74.099999999999994</v>
      </c>
      <c r="Z7" s="27">
        <f t="shared" si="0"/>
        <v>78</v>
      </c>
      <c r="AA7" s="8" t="s">
        <v>1</v>
      </c>
    </row>
    <row r="8" spans="1:27" ht="30" customHeight="1">
      <c r="A8" s="7">
        <v>70</v>
      </c>
      <c r="B8" s="27">
        <f t="shared" si="1"/>
        <v>4.2</v>
      </c>
      <c r="C8" s="27">
        <f t="shared" si="0"/>
        <v>5.04</v>
      </c>
      <c r="D8" s="27">
        <f t="shared" si="0"/>
        <v>5.88</v>
      </c>
      <c r="E8" s="27">
        <f t="shared" si="0"/>
        <v>6.72</v>
      </c>
      <c r="F8" s="27">
        <f t="shared" si="0"/>
        <v>7.56</v>
      </c>
      <c r="G8" s="27">
        <f t="shared" si="0"/>
        <v>8.4</v>
      </c>
      <c r="H8" s="27">
        <f t="shared" si="0"/>
        <v>10.08</v>
      </c>
      <c r="I8" s="27">
        <f t="shared" si="0"/>
        <v>12.6</v>
      </c>
      <c r="J8" s="27">
        <f t="shared" si="0"/>
        <v>16.8</v>
      </c>
      <c r="K8" s="27">
        <f t="shared" si="0"/>
        <v>21</v>
      </c>
      <c r="L8" s="27">
        <f t="shared" si="0"/>
        <v>25.2</v>
      </c>
      <c r="M8" s="27">
        <f t="shared" si="0"/>
        <v>29.4</v>
      </c>
      <c r="N8" s="27">
        <f t="shared" si="0"/>
        <v>33.6</v>
      </c>
      <c r="O8" s="27">
        <f t="shared" si="0"/>
        <v>37.799999999999997</v>
      </c>
      <c r="P8" s="27">
        <f t="shared" si="0"/>
        <v>42</v>
      </c>
      <c r="Q8" s="27">
        <f t="shared" si="0"/>
        <v>46.2</v>
      </c>
      <c r="R8" s="27">
        <f t="shared" si="0"/>
        <v>50.4</v>
      </c>
      <c r="S8" s="27">
        <f t="shared" si="0"/>
        <v>54.6</v>
      </c>
      <c r="T8" s="27">
        <f t="shared" si="0"/>
        <v>58.8</v>
      </c>
      <c r="U8" s="27">
        <f t="shared" si="0"/>
        <v>63</v>
      </c>
      <c r="V8" s="27">
        <f t="shared" si="0"/>
        <v>67.2</v>
      </c>
      <c r="W8" s="27">
        <f t="shared" si="0"/>
        <v>71.400000000000006</v>
      </c>
      <c r="X8" s="27">
        <f t="shared" si="0"/>
        <v>75.599999999999994</v>
      </c>
      <c r="Y8" s="27">
        <f t="shared" si="0"/>
        <v>79.8</v>
      </c>
      <c r="Z8" s="27">
        <f t="shared" si="0"/>
        <v>84</v>
      </c>
      <c r="AA8" s="8" t="s">
        <v>1</v>
      </c>
    </row>
    <row r="9" spans="1:27" ht="30" customHeight="1">
      <c r="A9" s="7">
        <v>75</v>
      </c>
      <c r="B9" s="27">
        <f t="shared" si="1"/>
        <v>4.5</v>
      </c>
      <c r="C9" s="27">
        <f t="shared" si="0"/>
        <v>5.4</v>
      </c>
      <c r="D9" s="27">
        <f t="shared" si="0"/>
        <v>6.3</v>
      </c>
      <c r="E9" s="27">
        <f t="shared" si="0"/>
        <v>7.2</v>
      </c>
      <c r="F9" s="27">
        <f t="shared" si="0"/>
        <v>8.1</v>
      </c>
      <c r="G9" s="27">
        <f t="shared" si="0"/>
        <v>9</v>
      </c>
      <c r="H9" s="27">
        <f t="shared" si="0"/>
        <v>10.8</v>
      </c>
      <c r="I9" s="27">
        <f t="shared" si="0"/>
        <v>13.5</v>
      </c>
      <c r="J9" s="27">
        <f t="shared" si="0"/>
        <v>18</v>
      </c>
      <c r="K9" s="27">
        <f t="shared" si="0"/>
        <v>22.5</v>
      </c>
      <c r="L9" s="27">
        <f t="shared" si="0"/>
        <v>27</v>
      </c>
      <c r="M9" s="27">
        <f t="shared" si="0"/>
        <v>31.5</v>
      </c>
      <c r="N9" s="27">
        <f t="shared" si="0"/>
        <v>36</v>
      </c>
      <c r="O9" s="27">
        <f t="shared" si="0"/>
        <v>40.5</v>
      </c>
      <c r="P9" s="27">
        <f t="shared" si="0"/>
        <v>45</v>
      </c>
      <c r="Q9" s="27">
        <f t="shared" si="0"/>
        <v>49.5</v>
      </c>
      <c r="R9" s="27">
        <f t="shared" si="0"/>
        <v>54</v>
      </c>
      <c r="S9" s="27">
        <f t="shared" si="0"/>
        <v>58.5</v>
      </c>
      <c r="T9" s="27">
        <f t="shared" si="0"/>
        <v>63</v>
      </c>
      <c r="U9" s="27">
        <f t="shared" si="0"/>
        <v>67.5</v>
      </c>
      <c r="V9" s="27">
        <f t="shared" si="0"/>
        <v>72</v>
      </c>
      <c r="W9" s="27">
        <f t="shared" si="0"/>
        <v>76.5</v>
      </c>
      <c r="X9" s="27">
        <f t="shared" si="0"/>
        <v>81</v>
      </c>
      <c r="Y9" s="27">
        <f t="shared" si="0"/>
        <v>85.5</v>
      </c>
      <c r="Z9" s="27">
        <f t="shared" si="0"/>
        <v>90</v>
      </c>
      <c r="AA9" s="8" t="s">
        <v>1</v>
      </c>
    </row>
    <row r="10" spans="1:27" ht="30" customHeight="1">
      <c r="A10" s="7">
        <v>80</v>
      </c>
      <c r="B10" s="27">
        <f t="shared" si="1"/>
        <v>4.8</v>
      </c>
      <c r="C10" s="27">
        <f t="shared" si="0"/>
        <v>5.76</v>
      </c>
      <c r="D10" s="27">
        <f t="shared" si="0"/>
        <v>6.72</v>
      </c>
      <c r="E10" s="27">
        <f t="shared" si="0"/>
        <v>7.68</v>
      </c>
      <c r="F10" s="27">
        <f t="shared" si="0"/>
        <v>8.64</v>
      </c>
      <c r="G10" s="27">
        <f t="shared" si="0"/>
        <v>9.6</v>
      </c>
      <c r="H10" s="27">
        <f t="shared" si="0"/>
        <v>11.52</v>
      </c>
      <c r="I10" s="27">
        <f t="shared" si="0"/>
        <v>14.4</v>
      </c>
      <c r="J10" s="27">
        <f t="shared" si="0"/>
        <v>19.2</v>
      </c>
      <c r="K10" s="27">
        <f t="shared" si="0"/>
        <v>24</v>
      </c>
      <c r="L10" s="27">
        <f t="shared" si="0"/>
        <v>28.8</v>
      </c>
      <c r="M10" s="27">
        <f t="shared" si="0"/>
        <v>33.6</v>
      </c>
      <c r="N10" s="27">
        <f t="shared" si="0"/>
        <v>38.4</v>
      </c>
      <c r="O10" s="27">
        <f t="shared" si="0"/>
        <v>43.2</v>
      </c>
      <c r="P10" s="27">
        <f t="shared" si="0"/>
        <v>48</v>
      </c>
      <c r="Q10" s="27">
        <f t="shared" si="0"/>
        <v>52.8</v>
      </c>
      <c r="R10" s="27">
        <f t="shared" si="0"/>
        <v>57.6</v>
      </c>
      <c r="S10" s="27">
        <f t="shared" si="0"/>
        <v>62.4</v>
      </c>
      <c r="T10" s="27">
        <f t="shared" si="0"/>
        <v>67.2</v>
      </c>
      <c r="U10" s="27">
        <f t="shared" si="0"/>
        <v>72</v>
      </c>
      <c r="V10" s="27">
        <f t="shared" si="0"/>
        <v>76.8</v>
      </c>
      <c r="W10" s="27">
        <f t="shared" si="0"/>
        <v>81.599999999999994</v>
      </c>
      <c r="X10" s="27">
        <f t="shared" si="0"/>
        <v>86.4</v>
      </c>
      <c r="Y10" s="27">
        <f t="shared" si="0"/>
        <v>91.2</v>
      </c>
      <c r="Z10" s="27">
        <f t="shared" si="0"/>
        <v>96</v>
      </c>
      <c r="AA10" s="8" t="s">
        <v>1</v>
      </c>
    </row>
    <row r="11" spans="1:27" ht="30" customHeight="1">
      <c r="A11" s="7">
        <v>85</v>
      </c>
      <c r="B11" s="27">
        <f t="shared" si="1"/>
        <v>5.0999999999999996</v>
      </c>
      <c r="C11" s="27">
        <f t="shared" si="0"/>
        <v>6.12</v>
      </c>
      <c r="D11" s="27">
        <f t="shared" si="0"/>
        <v>7.14</v>
      </c>
      <c r="E11" s="27">
        <f t="shared" si="0"/>
        <v>8.16</v>
      </c>
      <c r="F11" s="27">
        <f t="shared" si="0"/>
        <v>9.18</v>
      </c>
      <c r="G11" s="27">
        <f t="shared" si="0"/>
        <v>10.199999999999999</v>
      </c>
      <c r="H11" s="27">
        <f t="shared" si="0"/>
        <v>12.24</v>
      </c>
      <c r="I11" s="27">
        <f t="shared" si="0"/>
        <v>15.3</v>
      </c>
      <c r="J11" s="27">
        <f t="shared" si="0"/>
        <v>20.399999999999999</v>
      </c>
      <c r="K11" s="27">
        <f t="shared" si="0"/>
        <v>25.5</v>
      </c>
      <c r="L11" s="27">
        <f t="shared" si="0"/>
        <v>30.6</v>
      </c>
      <c r="M11" s="27">
        <f t="shared" si="0"/>
        <v>35.700000000000003</v>
      </c>
      <c r="N11" s="27">
        <f t="shared" si="0"/>
        <v>40.799999999999997</v>
      </c>
      <c r="O11" s="27">
        <f t="shared" si="0"/>
        <v>45.9</v>
      </c>
      <c r="P11" s="27">
        <f t="shared" si="0"/>
        <v>51</v>
      </c>
      <c r="Q11" s="27">
        <f t="shared" si="0"/>
        <v>56.1</v>
      </c>
      <c r="R11" s="27">
        <f t="shared" si="0"/>
        <v>61.2</v>
      </c>
      <c r="S11" s="27">
        <f t="shared" si="0"/>
        <v>66.3</v>
      </c>
      <c r="T11" s="27">
        <f t="shared" si="0"/>
        <v>71.400000000000006</v>
      </c>
      <c r="U11" s="27">
        <f t="shared" si="0"/>
        <v>76.5</v>
      </c>
      <c r="V11" s="27">
        <f t="shared" si="0"/>
        <v>81.599999999999994</v>
      </c>
      <c r="W11" s="27">
        <f t="shared" si="0"/>
        <v>86.7</v>
      </c>
      <c r="X11" s="27">
        <f t="shared" si="0"/>
        <v>91.8</v>
      </c>
      <c r="Y11" s="27">
        <f t="shared" si="0"/>
        <v>96.9</v>
      </c>
      <c r="Z11" s="27">
        <f t="shared" si="0"/>
        <v>102</v>
      </c>
      <c r="AA11" s="8" t="s">
        <v>1</v>
      </c>
    </row>
    <row r="12" spans="1:27" ht="30" customHeight="1">
      <c r="A12" s="7">
        <v>90</v>
      </c>
      <c r="B12" s="27">
        <f t="shared" si="1"/>
        <v>5.4</v>
      </c>
      <c r="C12" s="27">
        <f t="shared" si="0"/>
        <v>6.48</v>
      </c>
      <c r="D12" s="27">
        <f t="shared" si="0"/>
        <v>7.5599999999999987</v>
      </c>
      <c r="E12" s="27">
        <f t="shared" si="0"/>
        <v>8.64</v>
      </c>
      <c r="F12" s="27">
        <f t="shared" si="0"/>
        <v>9.7200000000000006</v>
      </c>
      <c r="G12" s="27">
        <f t="shared" si="0"/>
        <v>10.8</v>
      </c>
      <c r="H12" s="27">
        <f t="shared" si="0"/>
        <v>12.96</v>
      </c>
      <c r="I12" s="27">
        <f t="shared" si="0"/>
        <v>16.2</v>
      </c>
      <c r="J12" s="27">
        <f t="shared" si="0"/>
        <v>21.6</v>
      </c>
      <c r="K12" s="27">
        <f t="shared" si="0"/>
        <v>27</v>
      </c>
      <c r="L12" s="27">
        <f t="shared" si="0"/>
        <v>32.4</v>
      </c>
      <c r="M12" s="27">
        <f t="shared" si="0"/>
        <v>37.799999999999997</v>
      </c>
      <c r="N12" s="27">
        <f t="shared" si="0"/>
        <v>43.2</v>
      </c>
      <c r="O12" s="27">
        <f t="shared" si="0"/>
        <v>48.6</v>
      </c>
      <c r="P12" s="27">
        <f t="shared" si="0"/>
        <v>54</v>
      </c>
      <c r="Q12" s="27">
        <f t="shared" si="0"/>
        <v>59.4</v>
      </c>
      <c r="R12" s="27">
        <f t="shared" si="0"/>
        <v>64.8</v>
      </c>
      <c r="S12" s="27">
        <f t="shared" si="0"/>
        <v>70.2</v>
      </c>
      <c r="T12" s="27">
        <f t="shared" si="0"/>
        <v>75.599999999999994</v>
      </c>
      <c r="U12" s="27">
        <f t="shared" si="0"/>
        <v>81</v>
      </c>
      <c r="V12" s="27">
        <f t="shared" si="0"/>
        <v>86.4</v>
      </c>
      <c r="W12" s="27">
        <f t="shared" si="0"/>
        <v>91.8</v>
      </c>
      <c r="X12" s="27">
        <f t="shared" si="0"/>
        <v>97.2</v>
      </c>
      <c r="Y12" s="27">
        <f t="shared" si="0"/>
        <v>102.6</v>
      </c>
      <c r="Z12" s="27">
        <f t="shared" si="0"/>
        <v>108</v>
      </c>
      <c r="AA12" s="8" t="s">
        <v>1</v>
      </c>
    </row>
    <row r="13" spans="1:27" ht="30" customHeight="1">
      <c r="A13" s="7">
        <v>95</v>
      </c>
      <c r="B13" s="27">
        <f t="shared" si="1"/>
        <v>5.7</v>
      </c>
      <c r="C13" s="27">
        <f t="shared" si="0"/>
        <v>6.84</v>
      </c>
      <c r="D13" s="27">
        <f t="shared" si="0"/>
        <v>7.9799999999999986</v>
      </c>
      <c r="E13" s="27">
        <f t="shared" si="0"/>
        <v>9.1199999999999992</v>
      </c>
      <c r="F13" s="27">
        <f t="shared" si="0"/>
        <v>10.26</v>
      </c>
      <c r="G13" s="27">
        <f t="shared" si="0"/>
        <v>11.4</v>
      </c>
      <c r="H13" s="27">
        <f t="shared" si="0"/>
        <v>13.68</v>
      </c>
      <c r="I13" s="27">
        <f t="shared" si="0"/>
        <v>17.100000000000001</v>
      </c>
      <c r="J13" s="27">
        <f t="shared" si="0"/>
        <v>22.8</v>
      </c>
      <c r="K13" s="27">
        <f t="shared" si="0"/>
        <v>28.5</v>
      </c>
      <c r="L13" s="27">
        <f t="shared" si="0"/>
        <v>34.200000000000003</v>
      </c>
      <c r="M13" s="27">
        <f t="shared" si="0"/>
        <v>39.9</v>
      </c>
      <c r="N13" s="27">
        <f t="shared" si="0"/>
        <v>45.6</v>
      </c>
      <c r="O13" s="27">
        <f t="shared" si="0"/>
        <v>51.3</v>
      </c>
      <c r="P13" s="27">
        <f t="shared" si="0"/>
        <v>57</v>
      </c>
      <c r="Q13" s="27">
        <f t="shared" si="0"/>
        <v>62.7</v>
      </c>
      <c r="R13" s="27">
        <f t="shared" si="0"/>
        <v>68.400000000000006</v>
      </c>
      <c r="S13" s="27">
        <f t="shared" si="0"/>
        <v>74.099999999999994</v>
      </c>
      <c r="T13" s="27">
        <f t="shared" si="0"/>
        <v>79.8</v>
      </c>
      <c r="U13" s="27">
        <f t="shared" si="0"/>
        <v>85.5</v>
      </c>
      <c r="V13" s="27">
        <f t="shared" si="0"/>
        <v>91.2</v>
      </c>
      <c r="W13" s="27">
        <f t="shared" si="0"/>
        <v>96.9</v>
      </c>
      <c r="X13" s="27">
        <f t="shared" si="0"/>
        <v>102.6</v>
      </c>
      <c r="Y13" s="27">
        <f t="shared" si="0"/>
        <v>108.3</v>
      </c>
      <c r="Z13" s="27">
        <f t="shared" si="0"/>
        <v>114</v>
      </c>
      <c r="AA13" s="8" t="s">
        <v>1</v>
      </c>
    </row>
    <row r="14" spans="1:27" ht="30" customHeight="1">
      <c r="A14" s="7">
        <v>100</v>
      </c>
      <c r="B14" s="27">
        <f t="shared" si="1"/>
        <v>6</v>
      </c>
      <c r="C14" s="27">
        <f t="shared" si="0"/>
        <v>7.2</v>
      </c>
      <c r="D14" s="27">
        <f t="shared" si="0"/>
        <v>8.4</v>
      </c>
      <c r="E14" s="27">
        <f t="shared" si="0"/>
        <v>9.6</v>
      </c>
      <c r="F14" s="27">
        <f t="shared" si="0"/>
        <v>10.8</v>
      </c>
      <c r="G14" s="27">
        <f t="shared" si="0"/>
        <v>12</v>
      </c>
      <c r="H14" s="27">
        <f t="shared" si="0"/>
        <v>14.4</v>
      </c>
      <c r="I14" s="27">
        <f t="shared" si="0"/>
        <v>18</v>
      </c>
      <c r="J14" s="27">
        <f t="shared" si="0"/>
        <v>24</v>
      </c>
      <c r="K14" s="27">
        <f t="shared" si="0"/>
        <v>30</v>
      </c>
      <c r="L14" s="27">
        <f t="shared" si="0"/>
        <v>36</v>
      </c>
      <c r="M14" s="27">
        <f t="shared" si="0"/>
        <v>42</v>
      </c>
      <c r="N14" s="27">
        <f t="shared" si="0"/>
        <v>48</v>
      </c>
      <c r="O14" s="27">
        <f t="shared" si="0"/>
        <v>54</v>
      </c>
      <c r="P14" s="27">
        <f t="shared" si="0"/>
        <v>60</v>
      </c>
      <c r="Q14" s="27">
        <f t="shared" si="0"/>
        <v>66</v>
      </c>
      <c r="R14" s="27">
        <f t="shared" si="0"/>
        <v>72</v>
      </c>
      <c r="S14" s="27">
        <f t="shared" si="0"/>
        <v>78</v>
      </c>
      <c r="T14" s="27">
        <f t="shared" si="0"/>
        <v>84</v>
      </c>
      <c r="U14" s="27">
        <f t="shared" si="0"/>
        <v>90</v>
      </c>
      <c r="V14" s="27">
        <f t="shared" si="0"/>
        <v>96</v>
      </c>
      <c r="W14" s="27">
        <f t="shared" si="0"/>
        <v>102</v>
      </c>
      <c r="X14" s="27">
        <f t="shared" si="0"/>
        <v>108</v>
      </c>
      <c r="Y14" s="27">
        <f t="shared" si="0"/>
        <v>114</v>
      </c>
      <c r="Z14" s="27">
        <f t="shared" si="0"/>
        <v>120</v>
      </c>
      <c r="AA14" s="8" t="s">
        <v>1</v>
      </c>
    </row>
    <row r="15" spans="1:27" ht="30" customHeight="1">
      <c r="A15" s="7">
        <v>105</v>
      </c>
      <c r="B15" s="27">
        <f t="shared" si="1"/>
        <v>6.3</v>
      </c>
      <c r="C15" s="27">
        <f t="shared" si="0"/>
        <v>7.56</v>
      </c>
      <c r="D15" s="27">
        <f t="shared" si="0"/>
        <v>8.82</v>
      </c>
      <c r="E15" s="27">
        <f t="shared" si="0"/>
        <v>10.08</v>
      </c>
      <c r="F15" s="27">
        <f t="shared" si="0"/>
        <v>11.34</v>
      </c>
      <c r="G15" s="27">
        <f t="shared" si="0"/>
        <v>12.6</v>
      </c>
      <c r="H15" s="27">
        <f t="shared" si="0"/>
        <v>15.12</v>
      </c>
      <c r="I15" s="27">
        <f t="shared" ref="C15:Z18" si="2">I$3*($A15*60)/500</f>
        <v>18.899999999999999</v>
      </c>
      <c r="J15" s="27">
        <f t="shared" si="2"/>
        <v>25.2</v>
      </c>
      <c r="K15" s="27">
        <f t="shared" si="2"/>
        <v>31.5</v>
      </c>
      <c r="L15" s="27">
        <f t="shared" si="2"/>
        <v>37.799999999999997</v>
      </c>
      <c r="M15" s="27">
        <f t="shared" si="2"/>
        <v>44.1</v>
      </c>
      <c r="N15" s="27">
        <f t="shared" si="2"/>
        <v>50.4</v>
      </c>
      <c r="O15" s="27">
        <f t="shared" si="2"/>
        <v>56.7</v>
      </c>
      <c r="P15" s="27">
        <f t="shared" si="2"/>
        <v>63</v>
      </c>
      <c r="Q15" s="27">
        <f t="shared" si="2"/>
        <v>69.3</v>
      </c>
      <c r="R15" s="27">
        <f t="shared" si="2"/>
        <v>75.599999999999994</v>
      </c>
      <c r="S15" s="27">
        <f t="shared" si="2"/>
        <v>81.900000000000006</v>
      </c>
      <c r="T15" s="27">
        <f t="shared" si="2"/>
        <v>88.2</v>
      </c>
      <c r="U15" s="27">
        <f t="shared" si="2"/>
        <v>94.5</v>
      </c>
      <c r="V15" s="27">
        <f t="shared" si="2"/>
        <v>100.8</v>
      </c>
      <c r="W15" s="27">
        <f t="shared" si="2"/>
        <v>107.1</v>
      </c>
      <c r="X15" s="27">
        <f t="shared" si="2"/>
        <v>113.4</v>
      </c>
      <c r="Y15" s="27">
        <f t="shared" si="2"/>
        <v>119.7</v>
      </c>
      <c r="Z15" s="27">
        <f t="shared" si="2"/>
        <v>126</v>
      </c>
      <c r="AA15" s="8" t="s">
        <v>1</v>
      </c>
    </row>
    <row r="16" spans="1:27" ht="30" customHeight="1">
      <c r="A16" s="7">
        <v>110</v>
      </c>
      <c r="B16" s="27">
        <f t="shared" si="1"/>
        <v>6.6</v>
      </c>
      <c r="C16" s="27">
        <f t="shared" si="2"/>
        <v>7.92</v>
      </c>
      <c r="D16" s="27">
        <f t="shared" si="2"/>
        <v>9.24</v>
      </c>
      <c r="E16" s="27">
        <f t="shared" si="2"/>
        <v>10.56</v>
      </c>
      <c r="F16" s="27">
        <f t="shared" si="2"/>
        <v>11.88</v>
      </c>
      <c r="G16" s="27">
        <f t="shared" si="2"/>
        <v>13.2</v>
      </c>
      <c r="H16" s="27">
        <f t="shared" si="2"/>
        <v>15.84</v>
      </c>
      <c r="I16" s="27">
        <f t="shared" si="2"/>
        <v>19.8</v>
      </c>
      <c r="J16" s="27">
        <f t="shared" si="2"/>
        <v>26.4</v>
      </c>
      <c r="K16" s="27">
        <f t="shared" si="2"/>
        <v>33</v>
      </c>
      <c r="L16" s="27">
        <f t="shared" si="2"/>
        <v>39.6</v>
      </c>
      <c r="M16" s="27">
        <f t="shared" si="2"/>
        <v>46.2</v>
      </c>
      <c r="N16" s="27">
        <f t="shared" si="2"/>
        <v>52.8</v>
      </c>
      <c r="O16" s="27">
        <f t="shared" si="2"/>
        <v>59.4</v>
      </c>
      <c r="P16" s="27">
        <f t="shared" si="2"/>
        <v>66</v>
      </c>
      <c r="Q16" s="27">
        <f t="shared" si="2"/>
        <v>72.599999999999994</v>
      </c>
      <c r="R16" s="27">
        <f t="shared" si="2"/>
        <v>79.2</v>
      </c>
      <c r="S16" s="27">
        <f t="shared" si="2"/>
        <v>85.8</v>
      </c>
      <c r="T16" s="27">
        <f t="shared" si="2"/>
        <v>92.4</v>
      </c>
      <c r="U16" s="27">
        <f t="shared" si="2"/>
        <v>99</v>
      </c>
      <c r="V16" s="27">
        <f t="shared" si="2"/>
        <v>105.6</v>
      </c>
      <c r="W16" s="27">
        <f t="shared" si="2"/>
        <v>112.2</v>
      </c>
      <c r="X16" s="27">
        <f t="shared" si="2"/>
        <v>118.8</v>
      </c>
      <c r="Y16" s="27">
        <f t="shared" si="2"/>
        <v>125.4</v>
      </c>
      <c r="Z16" s="27">
        <f t="shared" si="2"/>
        <v>132</v>
      </c>
      <c r="AA16" s="8" t="s">
        <v>1</v>
      </c>
    </row>
    <row r="17" spans="1:27" ht="30" customHeight="1">
      <c r="A17" s="7">
        <v>115</v>
      </c>
      <c r="B17" s="27">
        <f t="shared" si="1"/>
        <v>6.9</v>
      </c>
      <c r="C17" s="27">
        <f t="shared" si="2"/>
        <v>8.2799999999999994</v>
      </c>
      <c r="D17" s="27">
        <f t="shared" si="2"/>
        <v>9.66</v>
      </c>
      <c r="E17" s="27">
        <f t="shared" si="2"/>
        <v>11.04</v>
      </c>
      <c r="F17" s="27">
        <f t="shared" si="2"/>
        <v>12.42</v>
      </c>
      <c r="G17" s="27">
        <f t="shared" si="2"/>
        <v>13.8</v>
      </c>
      <c r="H17" s="27">
        <f t="shared" si="2"/>
        <v>16.559999999999999</v>
      </c>
      <c r="I17" s="27">
        <f t="shared" si="2"/>
        <v>20.7</v>
      </c>
      <c r="J17" s="27">
        <f t="shared" si="2"/>
        <v>27.6</v>
      </c>
      <c r="K17" s="27">
        <f t="shared" si="2"/>
        <v>34.5</v>
      </c>
      <c r="L17" s="27">
        <f t="shared" si="2"/>
        <v>41.4</v>
      </c>
      <c r="M17" s="27">
        <f t="shared" si="2"/>
        <v>48.3</v>
      </c>
      <c r="N17" s="27">
        <f t="shared" si="2"/>
        <v>55.2</v>
      </c>
      <c r="O17" s="27">
        <f t="shared" si="2"/>
        <v>62.1</v>
      </c>
      <c r="P17" s="27">
        <f t="shared" si="2"/>
        <v>69</v>
      </c>
      <c r="Q17" s="27">
        <f t="shared" si="2"/>
        <v>75.900000000000006</v>
      </c>
      <c r="R17" s="27">
        <f t="shared" si="2"/>
        <v>82.8</v>
      </c>
      <c r="S17" s="27">
        <f t="shared" si="2"/>
        <v>89.7</v>
      </c>
      <c r="T17" s="27">
        <f t="shared" si="2"/>
        <v>96.6</v>
      </c>
      <c r="U17" s="27">
        <f t="shared" si="2"/>
        <v>103.5</v>
      </c>
      <c r="V17" s="27">
        <f t="shared" si="2"/>
        <v>110.4</v>
      </c>
      <c r="W17" s="27">
        <f t="shared" si="2"/>
        <v>117.3</v>
      </c>
      <c r="X17" s="27">
        <f t="shared" si="2"/>
        <v>124.2</v>
      </c>
      <c r="Y17" s="27">
        <f t="shared" si="2"/>
        <v>131.1</v>
      </c>
      <c r="Z17" s="27">
        <f t="shared" si="2"/>
        <v>138</v>
      </c>
      <c r="AA17" s="8" t="s">
        <v>1</v>
      </c>
    </row>
    <row r="18" spans="1:27" ht="30" customHeight="1" thickBot="1">
      <c r="A18" s="15">
        <v>120</v>
      </c>
      <c r="B18" s="28">
        <f t="shared" si="1"/>
        <v>7.2</v>
      </c>
      <c r="C18" s="28">
        <f t="shared" si="2"/>
        <v>8.64</v>
      </c>
      <c r="D18" s="28">
        <f t="shared" si="2"/>
        <v>10.08</v>
      </c>
      <c r="E18" s="28">
        <f t="shared" si="2"/>
        <v>11.52</v>
      </c>
      <c r="F18" s="28">
        <f t="shared" si="2"/>
        <v>12.96</v>
      </c>
      <c r="G18" s="28">
        <f t="shared" si="2"/>
        <v>14.4</v>
      </c>
      <c r="H18" s="28">
        <f t="shared" si="2"/>
        <v>17.28</v>
      </c>
      <c r="I18" s="28">
        <f t="shared" si="2"/>
        <v>21.6</v>
      </c>
      <c r="J18" s="28">
        <f t="shared" si="2"/>
        <v>28.8</v>
      </c>
      <c r="K18" s="28">
        <f t="shared" si="2"/>
        <v>36</v>
      </c>
      <c r="L18" s="28">
        <f t="shared" si="2"/>
        <v>43.2</v>
      </c>
      <c r="M18" s="28">
        <f t="shared" si="2"/>
        <v>50.4</v>
      </c>
      <c r="N18" s="28">
        <f t="shared" si="2"/>
        <v>57.6</v>
      </c>
      <c r="O18" s="28">
        <f t="shared" si="2"/>
        <v>64.8</v>
      </c>
      <c r="P18" s="28">
        <f t="shared" si="2"/>
        <v>72</v>
      </c>
      <c r="Q18" s="28">
        <f t="shared" si="2"/>
        <v>79.2</v>
      </c>
      <c r="R18" s="28">
        <f t="shared" si="2"/>
        <v>86.4</v>
      </c>
      <c r="S18" s="28">
        <f t="shared" si="2"/>
        <v>93.6</v>
      </c>
      <c r="T18" s="28">
        <f t="shared" si="2"/>
        <v>100.8</v>
      </c>
      <c r="U18" s="28">
        <f t="shared" si="2"/>
        <v>108</v>
      </c>
      <c r="V18" s="28">
        <f t="shared" si="2"/>
        <v>115.2</v>
      </c>
      <c r="W18" s="28">
        <f t="shared" si="2"/>
        <v>122.4</v>
      </c>
      <c r="X18" s="28">
        <f t="shared" si="2"/>
        <v>129.6</v>
      </c>
      <c r="Y18" s="28">
        <f t="shared" si="2"/>
        <v>136.80000000000001</v>
      </c>
      <c r="Z18" s="28">
        <f t="shared" si="2"/>
        <v>144</v>
      </c>
      <c r="AA18" s="16" t="s">
        <v>1</v>
      </c>
    </row>
    <row r="19" spans="1:27" ht="15.75" thickBot="1"/>
    <row r="20" spans="1:27" ht="21.75" thickBot="1">
      <c r="G20" s="76" t="s">
        <v>3</v>
      </c>
      <c r="H20" s="77"/>
      <c r="I20" s="77"/>
      <c r="J20" s="77"/>
      <c r="K20" s="77"/>
      <c r="L20" s="77"/>
      <c r="M20" s="77"/>
      <c r="N20" s="77"/>
      <c r="O20" s="77"/>
      <c r="P20" s="78"/>
      <c r="R20" s="79" t="s">
        <v>4</v>
      </c>
      <c r="S20" s="79"/>
      <c r="T20" s="79"/>
      <c r="U20" s="79"/>
      <c r="V20" s="79"/>
      <c r="W20" s="79"/>
      <c r="X20" s="79"/>
      <c r="Y20" s="79"/>
      <c r="Z20" s="79"/>
      <c r="AA20" s="79"/>
    </row>
  </sheetData>
  <mergeCells count="3">
    <mergeCell ref="G20:P20"/>
    <mergeCell ref="R20:AA20"/>
    <mergeCell ref="F1:U2"/>
  </mergeCells>
  <conditionalFormatting sqref="B4:Z18">
    <cfRule type="colorScale" priority="1">
      <colorScale>
        <cfvo type="min" val="0"/>
        <cfvo type="percentile" val="50"/>
        <cfvo type="max" val="0"/>
        <color rgb="FF00B0F0"/>
        <color rgb="FFFFEB84"/>
        <color rgb="FFFF0000"/>
      </colorScale>
    </cfRule>
  </conditionalFormatting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5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23"/>
  <sheetViews>
    <sheetView view="pageBreakPreview" zoomScale="130" zoomScaleSheetLayoutView="130" workbookViewId="0">
      <selection activeCell="G20" sqref="G20:Q20"/>
    </sheetView>
  </sheetViews>
  <sheetFormatPr defaultRowHeight="15"/>
  <cols>
    <col min="1" max="1" width="16.140625" bestFit="1" customWidth="1"/>
    <col min="2" max="22" width="7.140625" customWidth="1"/>
  </cols>
  <sheetData>
    <row r="1" spans="1:24">
      <c r="E1" s="88" t="s">
        <v>38</v>
      </c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90"/>
    </row>
    <row r="2" spans="1:24" ht="15.75" thickBot="1">
      <c r="E2" s="91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3"/>
    </row>
    <row r="3" spans="1:24" ht="22.5" customHeight="1">
      <c r="A3" s="4" t="s">
        <v>0</v>
      </c>
      <c r="B3" s="5">
        <v>1</v>
      </c>
      <c r="C3" s="5">
        <v>1.1000000000000001</v>
      </c>
      <c r="D3" s="5">
        <v>1.2</v>
      </c>
      <c r="E3" s="5">
        <v>1.3</v>
      </c>
      <c r="F3" s="5">
        <v>1.4</v>
      </c>
      <c r="G3" s="5">
        <v>1.5</v>
      </c>
      <c r="H3" s="17">
        <v>1.6</v>
      </c>
      <c r="I3" s="17">
        <v>1.7</v>
      </c>
      <c r="J3" s="5">
        <v>1.8</v>
      </c>
      <c r="K3" s="5">
        <v>1.9</v>
      </c>
      <c r="L3" s="5">
        <v>2</v>
      </c>
      <c r="M3" s="5">
        <v>2.1</v>
      </c>
      <c r="N3" s="5">
        <v>2.2000000000000002</v>
      </c>
      <c r="O3" s="5">
        <v>2.2999999999999998</v>
      </c>
      <c r="P3" s="17">
        <v>2.4</v>
      </c>
      <c r="Q3" s="17">
        <v>2.5</v>
      </c>
      <c r="R3" s="5">
        <v>2.6</v>
      </c>
      <c r="S3" s="5">
        <v>2.7</v>
      </c>
      <c r="T3" s="5">
        <v>2.8</v>
      </c>
      <c r="U3" s="5">
        <v>2.9</v>
      </c>
      <c r="V3" s="5">
        <v>3</v>
      </c>
      <c r="W3" s="18"/>
      <c r="X3" s="19"/>
    </row>
    <row r="4" spans="1:24" ht="22.5" customHeight="1">
      <c r="A4" s="7">
        <v>50</v>
      </c>
      <c r="B4" s="13">
        <f>B$3*($A4*60)/1000</f>
        <v>3</v>
      </c>
      <c r="C4" s="13">
        <f t="shared" ref="C4:V17" si="0">C$3*($A4*60)/1000</f>
        <v>3.3000000000000003</v>
      </c>
      <c r="D4" s="13">
        <f t="shared" si="0"/>
        <v>3.6</v>
      </c>
      <c r="E4" s="13">
        <f t="shared" si="0"/>
        <v>3.9</v>
      </c>
      <c r="F4" s="13">
        <f t="shared" si="0"/>
        <v>4.2</v>
      </c>
      <c r="G4" s="13">
        <f t="shared" si="0"/>
        <v>4.5</v>
      </c>
      <c r="H4" s="13">
        <f t="shared" si="0"/>
        <v>4.8</v>
      </c>
      <c r="I4" s="13">
        <f t="shared" si="0"/>
        <v>5.0999999999999996</v>
      </c>
      <c r="J4" s="13">
        <f t="shared" si="0"/>
        <v>5.4</v>
      </c>
      <c r="K4" s="13">
        <f t="shared" si="0"/>
        <v>5.7</v>
      </c>
      <c r="L4" s="13">
        <f t="shared" si="0"/>
        <v>6</v>
      </c>
      <c r="M4" s="13">
        <f t="shared" si="0"/>
        <v>6.3</v>
      </c>
      <c r="N4" s="13">
        <f t="shared" si="0"/>
        <v>6.6000000000000005</v>
      </c>
      <c r="O4" s="13">
        <f t="shared" si="0"/>
        <v>6.8999999999999995</v>
      </c>
      <c r="P4" s="13">
        <f t="shared" si="0"/>
        <v>7.2</v>
      </c>
      <c r="Q4" s="13">
        <f t="shared" si="0"/>
        <v>7.5</v>
      </c>
      <c r="R4" s="13">
        <f t="shared" si="0"/>
        <v>7.8</v>
      </c>
      <c r="S4" s="13">
        <f t="shared" si="0"/>
        <v>8.1000000000000014</v>
      </c>
      <c r="T4" s="13">
        <f t="shared" si="0"/>
        <v>8.4</v>
      </c>
      <c r="U4" s="13">
        <f t="shared" si="0"/>
        <v>8.6999999999999993</v>
      </c>
      <c r="V4" s="13">
        <f t="shared" si="0"/>
        <v>9</v>
      </c>
      <c r="W4" s="8" t="s">
        <v>1</v>
      </c>
      <c r="X4" s="20"/>
    </row>
    <row r="5" spans="1:24" ht="22.5" customHeight="1">
      <c r="A5" s="7">
        <v>55</v>
      </c>
      <c r="B5" s="13">
        <f t="shared" ref="B5:Q18" si="1">B$3*($A5*60)/1000</f>
        <v>3.3</v>
      </c>
      <c r="C5" s="13">
        <f t="shared" si="1"/>
        <v>3.6300000000000003</v>
      </c>
      <c r="D5" s="13">
        <f t="shared" si="1"/>
        <v>3.96</v>
      </c>
      <c r="E5" s="13">
        <f t="shared" si="1"/>
        <v>4.29</v>
      </c>
      <c r="F5" s="13">
        <f t="shared" si="1"/>
        <v>4.62</v>
      </c>
      <c r="G5" s="13">
        <f t="shared" si="1"/>
        <v>4.95</v>
      </c>
      <c r="H5" s="13">
        <f t="shared" si="1"/>
        <v>5.28</v>
      </c>
      <c r="I5" s="13">
        <f t="shared" si="1"/>
        <v>5.61</v>
      </c>
      <c r="J5" s="13">
        <f t="shared" si="1"/>
        <v>5.94</v>
      </c>
      <c r="K5" s="13">
        <f t="shared" si="1"/>
        <v>6.27</v>
      </c>
      <c r="L5" s="13">
        <f t="shared" si="1"/>
        <v>6.6</v>
      </c>
      <c r="M5" s="13">
        <f t="shared" si="1"/>
        <v>6.93</v>
      </c>
      <c r="N5" s="13">
        <f t="shared" si="1"/>
        <v>7.2600000000000007</v>
      </c>
      <c r="O5" s="13">
        <f t="shared" si="1"/>
        <v>7.589999999999999</v>
      </c>
      <c r="P5" s="13">
        <f t="shared" si="1"/>
        <v>7.92</v>
      </c>
      <c r="Q5" s="13">
        <f t="shared" si="1"/>
        <v>8.25</v>
      </c>
      <c r="R5" s="13">
        <f t="shared" si="0"/>
        <v>8.58</v>
      </c>
      <c r="S5" s="13">
        <f t="shared" si="0"/>
        <v>8.91</v>
      </c>
      <c r="T5" s="13">
        <f t="shared" si="0"/>
        <v>9.24</v>
      </c>
      <c r="U5" s="13">
        <f t="shared" si="0"/>
        <v>9.57</v>
      </c>
      <c r="V5" s="13">
        <f t="shared" si="0"/>
        <v>9.9</v>
      </c>
      <c r="W5" s="8" t="s">
        <v>1</v>
      </c>
      <c r="X5" s="20"/>
    </row>
    <row r="6" spans="1:24" ht="22.5" customHeight="1">
      <c r="A6" s="7">
        <v>60</v>
      </c>
      <c r="B6" s="13">
        <f t="shared" si="1"/>
        <v>3.6</v>
      </c>
      <c r="C6" s="13">
        <f t="shared" si="0"/>
        <v>3.9600000000000004</v>
      </c>
      <c r="D6" s="13">
        <f t="shared" si="0"/>
        <v>4.32</v>
      </c>
      <c r="E6" s="13">
        <f t="shared" si="0"/>
        <v>4.68</v>
      </c>
      <c r="F6" s="13">
        <f t="shared" si="0"/>
        <v>5.04</v>
      </c>
      <c r="G6" s="13">
        <f t="shared" si="0"/>
        <v>5.4</v>
      </c>
      <c r="H6" s="13">
        <f t="shared" si="0"/>
        <v>5.76</v>
      </c>
      <c r="I6" s="13">
        <f t="shared" si="0"/>
        <v>6.12</v>
      </c>
      <c r="J6" s="13">
        <f t="shared" si="0"/>
        <v>6.48</v>
      </c>
      <c r="K6" s="13">
        <f t="shared" si="0"/>
        <v>6.84</v>
      </c>
      <c r="L6" s="13">
        <f t="shared" si="0"/>
        <v>7.2</v>
      </c>
      <c r="M6" s="13">
        <f t="shared" si="0"/>
        <v>7.56</v>
      </c>
      <c r="N6" s="13">
        <f t="shared" si="0"/>
        <v>7.9200000000000008</v>
      </c>
      <c r="O6" s="13">
        <f t="shared" si="0"/>
        <v>8.2799999999999994</v>
      </c>
      <c r="P6" s="13">
        <f t="shared" si="0"/>
        <v>8.64</v>
      </c>
      <c r="Q6" s="13">
        <f t="shared" si="0"/>
        <v>9</v>
      </c>
      <c r="R6" s="13">
        <f t="shared" si="0"/>
        <v>9.36</v>
      </c>
      <c r="S6" s="13">
        <f t="shared" si="0"/>
        <v>9.7200000000000006</v>
      </c>
      <c r="T6" s="13">
        <f t="shared" si="0"/>
        <v>10.08</v>
      </c>
      <c r="U6" s="13">
        <f t="shared" si="0"/>
        <v>10.44</v>
      </c>
      <c r="V6" s="13">
        <f t="shared" si="0"/>
        <v>10.8</v>
      </c>
      <c r="W6" s="8" t="s">
        <v>1</v>
      </c>
      <c r="X6" s="20"/>
    </row>
    <row r="7" spans="1:24" ht="22.5" customHeight="1">
      <c r="A7" s="7">
        <v>65</v>
      </c>
      <c r="B7" s="13">
        <f t="shared" si="1"/>
        <v>3.9</v>
      </c>
      <c r="C7" s="13">
        <f t="shared" si="0"/>
        <v>4.29</v>
      </c>
      <c r="D7" s="13">
        <f t="shared" si="0"/>
        <v>4.68</v>
      </c>
      <c r="E7" s="13">
        <f t="shared" si="0"/>
        <v>5.07</v>
      </c>
      <c r="F7" s="13">
        <f t="shared" si="0"/>
        <v>5.46</v>
      </c>
      <c r="G7" s="13">
        <f t="shared" si="0"/>
        <v>5.85</v>
      </c>
      <c r="H7" s="13">
        <f t="shared" si="0"/>
        <v>6.24</v>
      </c>
      <c r="I7" s="13">
        <f t="shared" si="0"/>
        <v>6.63</v>
      </c>
      <c r="J7" s="13">
        <f t="shared" si="0"/>
        <v>7.02</v>
      </c>
      <c r="K7" s="13">
        <f t="shared" si="0"/>
        <v>7.41</v>
      </c>
      <c r="L7" s="13">
        <f t="shared" si="0"/>
        <v>7.8</v>
      </c>
      <c r="M7" s="13">
        <f t="shared" si="0"/>
        <v>8.19</v>
      </c>
      <c r="N7" s="13">
        <f t="shared" si="0"/>
        <v>8.58</v>
      </c>
      <c r="O7" s="13">
        <f t="shared" si="0"/>
        <v>8.9700000000000006</v>
      </c>
      <c r="P7" s="13">
        <f t="shared" si="0"/>
        <v>9.36</v>
      </c>
      <c r="Q7" s="13">
        <f t="shared" si="0"/>
        <v>9.75</v>
      </c>
      <c r="R7" s="13">
        <f t="shared" si="0"/>
        <v>10.14</v>
      </c>
      <c r="S7" s="13">
        <f t="shared" si="0"/>
        <v>10.53</v>
      </c>
      <c r="T7" s="13">
        <f t="shared" si="0"/>
        <v>10.92</v>
      </c>
      <c r="U7" s="13">
        <f t="shared" si="0"/>
        <v>11.31</v>
      </c>
      <c r="V7" s="13">
        <f t="shared" si="0"/>
        <v>11.7</v>
      </c>
      <c r="W7" s="8" t="s">
        <v>1</v>
      </c>
      <c r="X7" s="20"/>
    </row>
    <row r="8" spans="1:24" ht="22.5" customHeight="1">
      <c r="A8" s="7">
        <v>70</v>
      </c>
      <c r="B8" s="13">
        <f t="shared" si="1"/>
        <v>4.2</v>
      </c>
      <c r="C8" s="13">
        <f t="shared" si="0"/>
        <v>4.62</v>
      </c>
      <c r="D8" s="13">
        <f t="shared" si="0"/>
        <v>5.04</v>
      </c>
      <c r="E8" s="13">
        <f t="shared" si="0"/>
        <v>5.46</v>
      </c>
      <c r="F8" s="13">
        <f t="shared" si="0"/>
        <v>5.88</v>
      </c>
      <c r="G8" s="13">
        <f t="shared" si="0"/>
        <v>6.3</v>
      </c>
      <c r="H8" s="13">
        <f t="shared" si="0"/>
        <v>6.72</v>
      </c>
      <c r="I8" s="13">
        <f t="shared" si="0"/>
        <v>7.14</v>
      </c>
      <c r="J8" s="13">
        <f t="shared" si="0"/>
        <v>7.56</v>
      </c>
      <c r="K8" s="13">
        <f t="shared" si="0"/>
        <v>7.98</v>
      </c>
      <c r="L8" s="13">
        <f t="shared" si="0"/>
        <v>8.4</v>
      </c>
      <c r="M8" s="13">
        <f t="shared" si="0"/>
        <v>8.82</v>
      </c>
      <c r="N8" s="13">
        <f t="shared" si="0"/>
        <v>9.24</v>
      </c>
      <c r="O8" s="13">
        <f t="shared" si="0"/>
        <v>9.66</v>
      </c>
      <c r="P8" s="13">
        <f t="shared" si="0"/>
        <v>10.08</v>
      </c>
      <c r="Q8" s="13">
        <f t="shared" si="0"/>
        <v>10.5</v>
      </c>
      <c r="R8" s="13">
        <f t="shared" si="0"/>
        <v>10.92</v>
      </c>
      <c r="S8" s="13">
        <f t="shared" si="0"/>
        <v>11.34</v>
      </c>
      <c r="T8" s="13">
        <f t="shared" si="0"/>
        <v>11.76</v>
      </c>
      <c r="U8" s="13">
        <f t="shared" si="0"/>
        <v>12.18</v>
      </c>
      <c r="V8" s="13">
        <f t="shared" si="0"/>
        <v>12.6</v>
      </c>
      <c r="W8" s="8" t="s">
        <v>1</v>
      </c>
      <c r="X8" s="20"/>
    </row>
    <row r="9" spans="1:24" ht="22.5" customHeight="1">
      <c r="A9" s="7">
        <v>75</v>
      </c>
      <c r="B9" s="13">
        <f t="shared" si="1"/>
        <v>4.5</v>
      </c>
      <c r="C9" s="13">
        <f t="shared" si="0"/>
        <v>4.95</v>
      </c>
      <c r="D9" s="13">
        <f t="shared" si="0"/>
        <v>5.4</v>
      </c>
      <c r="E9" s="13">
        <f t="shared" si="0"/>
        <v>5.85</v>
      </c>
      <c r="F9" s="13">
        <f t="shared" si="0"/>
        <v>6.3</v>
      </c>
      <c r="G9" s="13">
        <f t="shared" si="0"/>
        <v>6.75</v>
      </c>
      <c r="H9" s="13">
        <f t="shared" si="0"/>
        <v>7.2</v>
      </c>
      <c r="I9" s="13">
        <f t="shared" si="0"/>
        <v>7.65</v>
      </c>
      <c r="J9" s="13">
        <f t="shared" si="0"/>
        <v>8.1</v>
      </c>
      <c r="K9" s="13">
        <f t="shared" si="0"/>
        <v>8.5500000000000007</v>
      </c>
      <c r="L9" s="13">
        <f t="shared" si="0"/>
        <v>9</v>
      </c>
      <c r="M9" s="13">
        <f t="shared" si="0"/>
        <v>9.4499999999999993</v>
      </c>
      <c r="N9" s="13">
        <f t="shared" si="0"/>
        <v>9.9</v>
      </c>
      <c r="O9" s="13">
        <f t="shared" si="0"/>
        <v>10.35</v>
      </c>
      <c r="P9" s="13">
        <f t="shared" si="0"/>
        <v>10.8</v>
      </c>
      <c r="Q9" s="13">
        <f t="shared" si="0"/>
        <v>11.25</v>
      </c>
      <c r="R9" s="13">
        <f t="shared" si="0"/>
        <v>11.7</v>
      </c>
      <c r="S9" s="13">
        <f t="shared" si="0"/>
        <v>12.15</v>
      </c>
      <c r="T9" s="13">
        <f t="shared" si="0"/>
        <v>12.6</v>
      </c>
      <c r="U9" s="13">
        <f t="shared" si="0"/>
        <v>13.05</v>
      </c>
      <c r="V9" s="13">
        <f t="shared" si="0"/>
        <v>13.5</v>
      </c>
      <c r="W9" s="8" t="s">
        <v>1</v>
      </c>
      <c r="X9" s="20"/>
    </row>
    <row r="10" spans="1:24" ht="22.5" customHeight="1">
      <c r="A10" s="7">
        <v>80</v>
      </c>
      <c r="B10" s="13">
        <f t="shared" si="1"/>
        <v>4.8</v>
      </c>
      <c r="C10" s="13">
        <f t="shared" si="0"/>
        <v>5.28</v>
      </c>
      <c r="D10" s="13">
        <f t="shared" si="0"/>
        <v>5.76</v>
      </c>
      <c r="E10" s="13">
        <f t="shared" si="0"/>
        <v>6.24</v>
      </c>
      <c r="F10" s="13">
        <f t="shared" si="0"/>
        <v>6.72</v>
      </c>
      <c r="G10" s="13">
        <f t="shared" si="0"/>
        <v>7.2</v>
      </c>
      <c r="H10" s="13">
        <f t="shared" si="0"/>
        <v>7.68</v>
      </c>
      <c r="I10" s="13">
        <f t="shared" si="0"/>
        <v>8.16</v>
      </c>
      <c r="J10" s="13">
        <f t="shared" si="0"/>
        <v>8.64</v>
      </c>
      <c r="K10" s="13">
        <f t="shared" si="0"/>
        <v>9.1199999999999992</v>
      </c>
      <c r="L10" s="13">
        <f t="shared" si="0"/>
        <v>9.6</v>
      </c>
      <c r="M10" s="13">
        <f t="shared" si="0"/>
        <v>10.08</v>
      </c>
      <c r="N10" s="13">
        <f t="shared" si="0"/>
        <v>10.56</v>
      </c>
      <c r="O10" s="13">
        <f t="shared" si="0"/>
        <v>11.04</v>
      </c>
      <c r="P10" s="13">
        <f t="shared" si="0"/>
        <v>11.52</v>
      </c>
      <c r="Q10" s="13">
        <f t="shared" si="0"/>
        <v>12</v>
      </c>
      <c r="R10" s="13">
        <f t="shared" si="0"/>
        <v>12.48</v>
      </c>
      <c r="S10" s="13">
        <f t="shared" si="0"/>
        <v>12.96</v>
      </c>
      <c r="T10" s="13">
        <f t="shared" si="0"/>
        <v>13.44</v>
      </c>
      <c r="U10" s="13">
        <f t="shared" si="0"/>
        <v>13.92</v>
      </c>
      <c r="V10" s="13">
        <f t="shared" si="0"/>
        <v>14.4</v>
      </c>
      <c r="W10" s="8" t="s">
        <v>1</v>
      </c>
      <c r="X10" s="20"/>
    </row>
    <row r="11" spans="1:24" ht="22.5" customHeight="1">
      <c r="A11" s="7">
        <v>85</v>
      </c>
      <c r="B11" s="13">
        <f t="shared" si="1"/>
        <v>5.0999999999999996</v>
      </c>
      <c r="C11" s="13">
        <f t="shared" si="0"/>
        <v>5.61</v>
      </c>
      <c r="D11" s="13">
        <f t="shared" si="0"/>
        <v>6.12</v>
      </c>
      <c r="E11" s="13">
        <f t="shared" si="0"/>
        <v>6.63</v>
      </c>
      <c r="F11" s="13">
        <f t="shared" si="0"/>
        <v>7.14</v>
      </c>
      <c r="G11" s="13">
        <f t="shared" si="0"/>
        <v>7.65</v>
      </c>
      <c r="H11" s="13">
        <f t="shared" si="0"/>
        <v>8.16</v>
      </c>
      <c r="I11" s="13">
        <f t="shared" si="0"/>
        <v>8.67</v>
      </c>
      <c r="J11" s="13">
        <f t="shared" si="0"/>
        <v>9.18</v>
      </c>
      <c r="K11" s="13">
        <f t="shared" si="0"/>
        <v>9.69</v>
      </c>
      <c r="L11" s="13">
        <f t="shared" si="0"/>
        <v>10.199999999999999</v>
      </c>
      <c r="M11" s="13">
        <f t="shared" si="0"/>
        <v>10.71</v>
      </c>
      <c r="N11" s="13">
        <f t="shared" si="0"/>
        <v>11.22</v>
      </c>
      <c r="O11" s="13">
        <f t="shared" si="0"/>
        <v>11.73</v>
      </c>
      <c r="P11" s="13">
        <f t="shared" si="0"/>
        <v>12.24</v>
      </c>
      <c r="Q11" s="13">
        <f t="shared" si="0"/>
        <v>12.75</v>
      </c>
      <c r="R11" s="13">
        <f t="shared" si="0"/>
        <v>13.26</v>
      </c>
      <c r="S11" s="13">
        <f t="shared" si="0"/>
        <v>13.77</v>
      </c>
      <c r="T11" s="13">
        <f t="shared" si="0"/>
        <v>14.28</v>
      </c>
      <c r="U11" s="13">
        <f t="shared" si="0"/>
        <v>14.79</v>
      </c>
      <c r="V11" s="13">
        <f t="shared" si="0"/>
        <v>15.3</v>
      </c>
      <c r="W11" s="8" t="s">
        <v>1</v>
      </c>
      <c r="X11" s="20"/>
    </row>
    <row r="12" spans="1:24" ht="22.5" customHeight="1">
      <c r="A12" s="7">
        <v>90</v>
      </c>
      <c r="B12" s="13">
        <f t="shared" si="1"/>
        <v>5.4</v>
      </c>
      <c r="C12" s="13">
        <f t="shared" si="0"/>
        <v>5.9400000000000013</v>
      </c>
      <c r="D12" s="13">
        <f t="shared" si="0"/>
        <v>6.48</v>
      </c>
      <c r="E12" s="13">
        <f t="shared" si="0"/>
        <v>7.02</v>
      </c>
      <c r="F12" s="13">
        <f t="shared" si="0"/>
        <v>7.5599999999999987</v>
      </c>
      <c r="G12" s="13">
        <f t="shared" si="0"/>
        <v>8.1</v>
      </c>
      <c r="H12" s="13">
        <f t="shared" si="0"/>
        <v>8.64</v>
      </c>
      <c r="I12" s="13">
        <f t="shared" si="0"/>
        <v>9.18</v>
      </c>
      <c r="J12" s="13">
        <f t="shared" si="0"/>
        <v>9.7200000000000006</v>
      </c>
      <c r="K12" s="13">
        <f t="shared" si="0"/>
        <v>10.26</v>
      </c>
      <c r="L12" s="13">
        <f t="shared" si="0"/>
        <v>10.8</v>
      </c>
      <c r="M12" s="13">
        <f t="shared" si="0"/>
        <v>11.34</v>
      </c>
      <c r="N12" s="13">
        <f t="shared" si="0"/>
        <v>11.880000000000003</v>
      </c>
      <c r="O12" s="13">
        <f t="shared" si="0"/>
        <v>12.419999999999998</v>
      </c>
      <c r="P12" s="13">
        <f t="shared" si="0"/>
        <v>12.96</v>
      </c>
      <c r="Q12" s="13">
        <f t="shared" si="0"/>
        <v>13.5</v>
      </c>
      <c r="R12" s="13">
        <f t="shared" si="0"/>
        <v>14.04</v>
      </c>
      <c r="S12" s="13">
        <f t="shared" si="0"/>
        <v>14.580000000000002</v>
      </c>
      <c r="T12" s="13">
        <f t="shared" si="0"/>
        <v>15.119999999999997</v>
      </c>
      <c r="U12" s="13">
        <f t="shared" si="0"/>
        <v>15.66</v>
      </c>
      <c r="V12" s="13">
        <f t="shared" si="0"/>
        <v>16.2</v>
      </c>
      <c r="W12" s="8" t="s">
        <v>1</v>
      </c>
      <c r="X12" s="20"/>
    </row>
    <row r="13" spans="1:24" ht="22.5" customHeight="1">
      <c r="A13" s="7">
        <v>95</v>
      </c>
      <c r="B13" s="13">
        <f t="shared" si="1"/>
        <v>5.7</v>
      </c>
      <c r="C13" s="13">
        <f t="shared" si="0"/>
        <v>6.2700000000000014</v>
      </c>
      <c r="D13" s="13">
        <f t="shared" si="0"/>
        <v>6.84</v>
      </c>
      <c r="E13" s="13">
        <f t="shared" si="0"/>
        <v>7.41</v>
      </c>
      <c r="F13" s="13">
        <f t="shared" si="0"/>
        <v>7.9799999999999986</v>
      </c>
      <c r="G13" s="13">
        <f t="shared" si="0"/>
        <v>8.5500000000000007</v>
      </c>
      <c r="H13" s="13">
        <f t="shared" si="0"/>
        <v>9.1199999999999992</v>
      </c>
      <c r="I13" s="13">
        <f t="shared" si="0"/>
        <v>9.69</v>
      </c>
      <c r="J13" s="13">
        <f t="shared" si="0"/>
        <v>10.26</v>
      </c>
      <c r="K13" s="13">
        <f t="shared" si="0"/>
        <v>10.83</v>
      </c>
      <c r="L13" s="13">
        <f t="shared" si="0"/>
        <v>11.4</v>
      </c>
      <c r="M13" s="13">
        <f t="shared" si="0"/>
        <v>11.97</v>
      </c>
      <c r="N13" s="13">
        <f t="shared" si="0"/>
        <v>12.540000000000003</v>
      </c>
      <c r="O13" s="13">
        <f t="shared" si="0"/>
        <v>13.109999999999998</v>
      </c>
      <c r="P13" s="13">
        <f t="shared" si="0"/>
        <v>13.68</v>
      </c>
      <c r="Q13" s="13">
        <f t="shared" si="0"/>
        <v>14.25</v>
      </c>
      <c r="R13" s="13">
        <f t="shared" si="0"/>
        <v>14.82</v>
      </c>
      <c r="S13" s="13">
        <f t="shared" si="0"/>
        <v>15.390000000000002</v>
      </c>
      <c r="T13" s="13">
        <f t="shared" si="0"/>
        <v>15.959999999999997</v>
      </c>
      <c r="U13" s="13">
        <f t="shared" si="0"/>
        <v>16.53</v>
      </c>
      <c r="V13" s="13">
        <f t="shared" si="0"/>
        <v>17.100000000000001</v>
      </c>
      <c r="W13" s="8" t="s">
        <v>1</v>
      </c>
      <c r="X13" s="20"/>
    </row>
    <row r="14" spans="1:24" ht="22.5" customHeight="1">
      <c r="A14" s="7">
        <v>100</v>
      </c>
      <c r="B14" s="13">
        <f t="shared" si="1"/>
        <v>6</v>
      </c>
      <c r="C14" s="13">
        <f t="shared" si="0"/>
        <v>6.6000000000000005</v>
      </c>
      <c r="D14" s="13">
        <f t="shared" si="0"/>
        <v>7.2</v>
      </c>
      <c r="E14" s="13">
        <f t="shared" si="0"/>
        <v>7.8</v>
      </c>
      <c r="F14" s="13">
        <f t="shared" si="0"/>
        <v>8.4</v>
      </c>
      <c r="G14" s="13">
        <f t="shared" si="0"/>
        <v>9</v>
      </c>
      <c r="H14" s="13">
        <f t="shared" si="0"/>
        <v>9.6</v>
      </c>
      <c r="I14" s="13">
        <f t="shared" si="0"/>
        <v>10.199999999999999</v>
      </c>
      <c r="J14" s="13">
        <f t="shared" si="0"/>
        <v>10.8</v>
      </c>
      <c r="K14" s="13">
        <f t="shared" si="0"/>
        <v>11.4</v>
      </c>
      <c r="L14" s="13">
        <f t="shared" si="0"/>
        <v>12</v>
      </c>
      <c r="M14" s="13">
        <f t="shared" si="0"/>
        <v>12.6</v>
      </c>
      <c r="N14" s="13">
        <f t="shared" si="0"/>
        <v>13.200000000000001</v>
      </c>
      <c r="O14" s="13">
        <f t="shared" si="0"/>
        <v>13.799999999999999</v>
      </c>
      <c r="P14" s="13">
        <f t="shared" si="0"/>
        <v>14.4</v>
      </c>
      <c r="Q14" s="13">
        <f t="shared" si="0"/>
        <v>15</v>
      </c>
      <c r="R14" s="13">
        <f t="shared" si="0"/>
        <v>15.6</v>
      </c>
      <c r="S14" s="13">
        <f t="shared" si="0"/>
        <v>16.200000000000003</v>
      </c>
      <c r="T14" s="13">
        <f t="shared" si="0"/>
        <v>16.8</v>
      </c>
      <c r="U14" s="13">
        <f t="shared" si="0"/>
        <v>17.399999999999999</v>
      </c>
      <c r="V14" s="13">
        <f t="shared" si="0"/>
        <v>18</v>
      </c>
      <c r="W14" s="8" t="s">
        <v>1</v>
      </c>
      <c r="X14" s="20"/>
    </row>
    <row r="15" spans="1:24" ht="22.5" customHeight="1">
      <c r="A15" s="7">
        <v>105</v>
      </c>
      <c r="B15" s="13">
        <f t="shared" si="1"/>
        <v>6.3</v>
      </c>
      <c r="C15" s="13">
        <f t="shared" si="0"/>
        <v>6.9300000000000006</v>
      </c>
      <c r="D15" s="13">
        <f t="shared" si="0"/>
        <v>7.56</v>
      </c>
      <c r="E15" s="13">
        <f t="shared" si="0"/>
        <v>8.19</v>
      </c>
      <c r="F15" s="13">
        <f t="shared" si="0"/>
        <v>8.82</v>
      </c>
      <c r="G15" s="13">
        <f t="shared" si="0"/>
        <v>9.4499999999999993</v>
      </c>
      <c r="H15" s="13">
        <f t="shared" si="0"/>
        <v>10.08</v>
      </c>
      <c r="I15" s="13">
        <f t="shared" si="0"/>
        <v>10.71</v>
      </c>
      <c r="J15" s="13">
        <f t="shared" si="0"/>
        <v>11.34</v>
      </c>
      <c r="K15" s="13">
        <f t="shared" si="0"/>
        <v>11.97</v>
      </c>
      <c r="L15" s="13">
        <f t="shared" si="0"/>
        <v>12.6</v>
      </c>
      <c r="M15" s="13">
        <f t="shared" si="0"/>
        <v>13.23</v>
      </c>
      <c r="N15" s="13">
        <f t="shared" si="0"/>
        <v>13.860000000000001</v>
      </c>
      <c r="O15" s="13">
        <f t="shared" si="0"/>
        <v>14.489999999999998</v>
      </c>
      <c r="P15" s="13">
        <f t="shared" si="0"/>
        <v>15.12</v>
      </c>
      <c r="Q15" s="13">
        <f t="shared" si="0"/>
        <v>15.75</v>
      </c>
      <c r="R15" s="13">
        <f t="shared" si="0"/>
        <v>16.38</v>
      </c>
      <c r="S15" s="13">
        <f t="shared" si="0"/>
        <v>17.010000000000002</v>
      </c>
      <c r="T15" s="13">
        <f t="shared" si="0"/>
        <v>17.64</v>
      </c>
      <c r="U15" s="13">
        <f t="shared" si="0"/>
        <v>18.27</v>
      </c>
      <c r="V15" s="13">
        <f t="shared" si="0"/>
        <v>18.899999999999999</v>
      </c>
      <c r="W15" s="8" t="s">
        <v>1</v>
      </c>
      <c r="X15" s="20"/>
    </row>
    <row r="16" spans="1:24" ht="22.5" customHeight="1">
      <c r="A16" s="7">
        <v>110</v>
      </c>
      <c r="B16" s="13">
        <f t="shared" si="1"/>
        <v>6.6</v>
      </c>
      <c r="C16" s="13">
        <f t="shared" si="0"/>
        <v>7.2600000000000007</v>
      </c>
      <c r="D16" s="13">
        <f t="shared" si="0"/>
        <v>7.92</v>
      </c>
      <c r="E16" s="13">
        <f t="shared" si="0"/>
        <v>8.58</v>
      </c>
      <c r="F16" s="13">
        <f t="shared" si="0"/>
        <v>9.24</v>
      </c>
      <c r="G16" s="13">
        <f t="shared" si="0"/>
        <v>9.9</v>
      </c>
      <c r="H16" s="13">
        <f t="shared" si="0"/>
        <v>10.56</v>
      </c>
      <c r="I16" s="13">
        <f t="shared" si="0"/>
        <v>11.22</v>
      </c>
      <c r="J16" s="13">
        <f t="shared" si="0"/>
        <v>11.88</v>
      </c>
      <c r="K16" s="13">
        <f t="shared" si="0"/>
        <v>12.54</v>
      </c>
      <c r="L16" s="13">
        <f t="shared" si="0"/>
        <v>13.2</v>
      </c>
      <c r="M16" s="13">
        <f t="shared" si="0"/>
        <v>13.86</v>
      </c>
      <c r="N16" s="13">
        <f t="shared" si="0"/>
        <v>14.520000000000001</v>
      </c>
      <c r="O16" s="13">
        <f t="shared" si="0"/>
        <v>15.179999999999998</v>
      </c>
      <c r="P16" s="13">
        <f t="shared" si="0"/>
        <v>15.84</v>
      </c>
      <c r="Q16" s="13">
        <f t="shared" si="0"/>
        <v>16.5</v>
      </c>
      <c r="R16" s="13">
        <f t="shared" si="0"/>
        <v>17.16</v>
      </c>
      <c r="S16" s="13">
        <f t="shared" si="0"/>
        <v>17.82</v>
      </c>
      <c r="T16" s="13">
        <f t="shared" si="0"/>
        <v>18.48</v>
      </c>
      <c r="U16" s="13">
        <f t="shared" si="0"/>
        <v>19.14</v>
      </c>
      <c r="V16" s="13">
        <f t="shared" si="0"/>
        <v>19.8</v>
      </c>
      <c r="W16" s="8" t="s">
        <v>1</v>
      </c>
      <c r="X16" s="20"/>
    </row>
    <row r="17" spans="1:24" ht="22.5" customHeight="1">
      <c r="A17" s="7">
        <v>115</v>
      </c>
      <c r="B17" s="13">
        <f t="shared" si="1"/>
        <v>6.9</v>
      </c>
      <c r="C17" s="13">
        <f t="shared" si="0"/>
        <v>7.5900000000000007</v>
      </c>
      <c r="D17" s="13">
        <f t="shared" si="0"/>
        <v>8.2799999999999994</v>
      </c>
      <c r="E17" s="13">
        <f t="shared" si="0"/>
        <v>8.9700000000000006</v>
      </c>
      <c r="F17" s="13">
        <f t="shared" si="0"/>
        <v>9.66</v>
      </c>
      <c r="G17" s="13">
        <f t="shared" si="0"/>
        <v>10.35</v>
      </c>
      <c r="H17" s="13">
        <f t="shared" si="0"/>
        <v>11.04</v>
      </c>
      <c r="I17" s="13">
        <f t="shared" si="0"/>
        <v>11.73</v>
      </c>
      <c r="J17" s="13">
        <f t="shared" si="0"/>
        <v>12.42</v>
      </c>
      <c r="K17" s="13">
        <f t="shared" si="0"/>
        <v>13.11</v>
      </c>
      <c r="L17" s="13">
        <f t="shared" si="0"/>
        <v>13.8</v>
      </c>
      <c r="M17" s="13">
        <f t="shared" ref="C17:V18" si="2">M$3*($A17*60)/1000</f>
        <v>14.49</v>
      </c>
      <c r="N17" s="13">
        <f t="shared" si="2"/>
        <v>15.180000000000001</v>
      </c>
      <c r="O17" s="13">
        <f t="shared" si="2"/>
        <v>15.869999999999997</v>
      </c>
      <c r="P17" s="13">
        <f t="shared" si="2"/>
        <v>16.559999999999999</v>
      </c>
      <c r="Q17" s="13">
        <f t="shared" si="2"/>
        <v>17.25</v>
      </c>
      <c r="R17" s="13">
        <f t="shared" si="2"/>
        <v>17.940000000000001</v>
      </c>
      <c r="S17" s="13">
        <f t="shared" si="2"/>
        <v>18.63</v>
      </c>
      <c r="T17" s="13">
        <f t="shared" si="2"/>
        <v>19.32</v>
      </c>
      <c r="U17" s="13">
        <f t="shared" si="2"/>
        <v>20.010000000000002</v>
      </c>
      <c r="V17" s="13">
        <f t="shared" si="2"/>
        <v>20.7</v>
      </c>
      <c r="W17" s="8" t="s">
        <v>1</v>
      </c>
      <c r="X17" s="20"/>
    </row>
    <row r="18" spans="1:24" ht="22.5" customHeight="1" thickBot="1">
      <c r="A18" s="15">
        <v>120</v>
      </c>
      <c r="B18" s="13">
        <f t="shared" si="1"/>
        <v>7.2</v>
      </c>
      <c r="C18" s="13">
        <f t="shared" si="2"/>
        <v>7.9200000000000008</v>
      </c>
      <c r="D18" s="13">
        <f t="shared" si="2"/>
        <v>8.64</v>
      </c>
      <c r="E18" s="13">
        <f t="shared" si="2"/>
        <v>9.36</v>
      </c>
      <c r="F18" s="13">
        <f t="shared" si="2"/>
        <v>10.08</v>
      </c>
      <c r="G18" s="13">
        <f t="shared" si="2"/>
        <v>10.8</v>
      </c>
      <c r="H18" s="13">
        <f t="shared" si="2"/>
        <v>11.52</v>
      </c>
      <c r="I18" s="13">
        <f t="shared" si="2"/>
        <v>12.24</v>
      </c>
      <c r="J18" s="13">
        <f t="shared" si="2"/>
        <v>12.96</v>
      </c>
      <c r="K18" s="13">
        <f t="shared" si="2"/>
        <v>13.68</v>
      </c>
      <c r="L18" s="13">
        <f t="shared" si="2"/>
        <v>14.4</v>
      </c>
      <c r="M18" s="13">
        <f t="shared" si="2"/>
        <v>15.12</v>
      </c>
      <c r="N18" s="13">
        <f t="shared" si="2"/>
        <v>15.840000000000002</v>
      </c>
      <c r="O18" s="13">
        <f t="shared" si="2"/>
        <v>16.559999999999999</v>
      </c>
      <c r="P18" s="13">
        <f t="shared" si="2"/>
        <v>17.28</v>
      </c>
      <c r="Q18" s="13">
        <f t="shared" si="2"/>
        <v>18</v>
      </c>
      <c r="R18" s="13">
        <f t="shared" si="2"/>
        <v>18.72</v>
      </c>
      <c r="S18" s="13">
        <f t="shared" si="2"/>
        <v>19.440000000000001</v>
      </c>
      <c r="T18" s="13">
        <f t="shared" si="2"/>
        <v>20.16</v>
      </c>
      <c r="U18" s="13">
        <f t="shared" si="2"/>
        <v>20.88</v>
      </c>
      <c r="V18" s="13">
        <f t="shared" si="2"/>
        <v>21.6</v>
      </c>
      <c r="W18" s="16" t="s">
        <v>1</v>
      </c>
      <c r="X18" s="20"/>
    </row>
    <row r="19" spans="1:24">
      <c r="A19" s="2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20"/>
    </row>
    <row r="20" spans="1:24" ht="15.75">
      <c r="A20" s="21"/>
      <c r="B20" s="12"/>
      <c r="C20" s="12"/>
      <c r="D20" s="12"/>
      <c r="E20" s="12"/>
      <c r="F20" s="12"/>
      <c r="G20" s="86" t="s">
        <v>8</v>
      </c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12"/>
      <c r="S20" s="12"/>
      <c r="T20" s="12"/>
      <c r="U20" s="12"/>
      <c r="V20" s="12"/>
      <c r="W20" s="12"/>
      <c r="X20" s="20"/>
    </row>
    <row r="21" spans="1:24">
      <c r="A21" s="2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20"/>
    </row>
    <row r="22" spans="1:24">
      <c r="A22" s="21"/>
      <c r="B22" s="87" t="s">
        <v>5</v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12"/>
      <c r="V22" s="12"/>
      <c r="W22" s="12"/>
      <c r="X22" s="20"/>
    </row>
    <row r="23" spans="1:24" ht="15.75" thickBot="1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3"/>
    </row>
  </sheetData>
  <mergeCells count="3">
    <mergeCell ref="G20:Q20"/>
    <mergeCell ref="B22:T22"/>
    <mergeCell ref="E1:R2"/>
  </mergeCells>
  <conditionalFormatting sqref="B4:V18">
    <cfRule type="colorScale" priority="1">
      <colorScale>
        <cfvo type="min" val="0"/>
        <cfvo type="percentile" val="50"/>
        <cfvo type="max" val="0"/>
        <color theme="3" tint="0.59999389629810485"/>
        <color rgb="FFFFEB84"/>
        <color theme="9" tint="-0.249977111117893"/>
      </colorScale>
    </cfRule>
    <cfRule type="colorScale" priority="2">
      <colorScale>
        <cfvo type="min" val="0"/>
        <cfvo type="max" val="0"/>
        <color theme="3" tint="0.59999389629810485"/>
        <color rgb="FFFF0000"/>
      </colorScale>
    </cfRule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7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22"/>
  <sheetViews>
    <sheetView view="pageBreakPreview" zoomScaleSheetLayoutView="100" workbookViewId="0">
      <selection activeCell="F20" sqref="F20"/>
    </sheetView>
  </sheetViews>
  <sheetFormatPr defaultRowHeight="15"/>
  <cols>
    <col min="1" max="1" width="16.140625" bestFit="1" customWidth="1"/>
    <col min="2" max="22" width="7.140625" customWidth="1"/>
  </cols>
  <sheetData>
    <row r="1" spans="1:24">
      <c r="F1" s="96" t="s">
        <v>74</v>
      </c>
      <c r="G1" s="96"/>
      <c r="H1" s="96"/>
      <c r="I1" s="96"/>
      <c r="J1" s="96"/>
      <c r="K1" s="96"/>
      <c r="L1" s="96"/>
      <c r="M1" s="96"/>
      <c r="N1" s="96"/>
      <c r="O1" s="96"/>
      <c r="P1" s="96"/>
    </row>
    <row r="2" spans="1:24" ht="15.75" thickBot="1"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</row>
    <row r="3" spans="1:24" ht="30" customHeight="1">
      <c r="A3" s="4" t="s">
        <v>0</v>
      </c>
      <c r="B3" s="5">
        <v>1</v>
      </c>
      <c r="C3" s="5">
        <v>1.1000000000000001</v>
      </c>
      <c r="D3" s="5">
        <v>1.2</v>
      </c>
      <c r="E3" s="5">
        <v>1.3</v>
      </c>
      <c r="F3" s="5">
        <v>1.4</v>
      </c>
      <c r="G3" s="5">
        <v>1.5</v>
      </c>
      <c r="H3" s="17">
        <v>1.6</v>
      </c>
      <c r="I3" s="17">
        <v>1.7</v>
      </c>
      <c r="J3" s="5">
        <v>1.8</v>
      </c>
      <c r="K3" s="5">
        <v>1.9</v>
      </c>
      <c r="L3" s="5">
        <v>2</v>
      </c>
      <c r="M3" s="5">
        <v>2.1</v>
      </c>
      <c r="N3" s="5">
        <v>2.2000000000000002</v>
      </c>
      <c r="O3" s="5">
        <v>2.2999999999999998</v>
      </c>
      <c r="P3" s="17">
        <v>2.4</v>
      </c>
      <c r="Q3" s="17">
        <v>2.5</v>
      </c>
      <c r="R3" s="5">
        <v>2.6</v>
      </c>
      <c r="S3" s="5">
        <v>2.7</v>
      </c>
      <c r="T3" s="5">
        <v>2.8</v>
      </c>
      <c r="U3" s="5">
        <v>2.9</v>
      </c>
      <c r="V3" s="5">
        <v>3</v>
      </c>
      <c r="W3" s="18"/>
      <c r="X3" s="19"/>
    </row>
    <row r="4" spans="1:24" ht="30" customHeight="1">
      <c r="A4" s="7">
        <v>50</v>
      </c>
      <c r="B4" s="25">
        <f t="shared" ref="B4:K18" si="0">B$3*($A4*60)/5000</f>
        <v>0.6</v>
      </c>
      <c r="C4" s="25">
        <f t="shared" si="0"/>
        <v>0.66000000000000014</v>
      </c>
      <c r="D4" s="25">
        <f t="shared" si="0"/>
        <v>0.72</v>
      </c>
      <c r="E4" s="25">
        <f t="shared" si="0"/>
        <v>0.78</v>
      </c>
      <c r="F4" s="25">
        <f t="shared" si="0"/>
        <v>0.84</v>
      </c>
      <c r="G4" s="25">
        <f t="shared" si="0"/>
        <v>0.9</v>
      </c>
      <c r="H4" s="25">
        <f t="shared" si="0"/>
        <v>0.96</v>
      </c>
      <c r="I4" s="25">
        <f t="shared" si="0"/>
        <v>1.02</v>
      </c>
      <c r="J4" s="25">
        <f t="shared" si="0"/>
        <v>1.08</v>
      </c>
      <c r="K4" s="25">
        <f t="shared" si="0"/>
        <v>1.1399999999999999</v>
      </c>
      <c r="L4" s="25">
        <f t="shared" ref="L4:V18" si="1">L$3*($A4*60)/5000</f>
        <v>1.2</v>
      </c>
      <c r="M4" s="25">
        <f t="shared" si="1"/>
        <v>1.26</v>
      </c>
      <c r="N4" s="25">
        <f t="shared" si="1"/>
        <v>1.3200000000000003</v>
      </c>
      <c r="O4" s="25">
        <f t="shared" si="1"/>
        <v>1.38</v>
      </c>
      <c r="P4" s="25">
        <f t="shared" si="1"/>
        <v>1.44</v>
      </c>
      <c r="Q4" s="25">
        <f t="shared" si="1"/>
        <v>1.5</v>
      </c>
      <c r="R4" s="25">
        <f t="shared" si="1"/>
        <v>1.56</v>
      </c>
      <c r="S4" s="25">
        <f t="shared" si="1"/>
        <v>1.62</v>
      </c>
      <c r="T4" s="25">
        <f t="shared" si="1"/>
        <v>1.68</v>
      </c>
      <c r="U4" s="25">
        <f t="shared" si="1"/>
        <v>1.74</v>
      </c>
      <c r="V4" s="25">
        <f t="shared" si="1"/>
        <v>1.8</v>
      </c>
      <c r="W4" s="8" t="s">
        <v>1</v>
      </c>
      <c r="X4" s="20"/>
    </row>
    <row r="5" spans="1:24" ht="30" customHeight="1">
      <c r="A5" s="7">
        <v>55</v>
      </c>
      <c r="B5" s="25">
        <f t="shared" si="0"/>
        <v>0.66</v>
      </c>
      <c r="C5" s="25">
        <f t="shared" si="0"/>
        <v>0.72600000000000009</v>
      </c>
      <c r="D5" s="25">
        <f t="shared" si="0"/>
        <v>0.79200000000000004</v>
      </c>
      <c r="E5" s="25">
        <f t="shared" si="0"/>
        <v>0.85799999999999998</v>
      </c>
      <c r="F5" s="25">
        <f t="shared" si="0"/>
        <v>0.92400000000000004</v>
      </c>
      <c r="G5" s="25">
        <f t="shared" si="0"/>
        <v>0.99</v>
      </c>
      <c r="H5" s="25">
        <f t="shared" si="0"/>
        <v>1.056</v>
      </c>
      <c r="I5" s="25">
        <f t="shared" si="0"/>
        <v>1.1220000000000001</v>
      </c>
      <c r="J5" s="25">
        <f t="shared" si="0"/>
        <v>1.1879999999999999</v>
      </c>
      <c r="K5" s="25">
        <f t="shared" si="0"/>
        <v>1.254</v>
      </c>
      <c r="L5" s="25">
        <f t="shared" si="1"/>
        <v>1.32</v>
      </c>
      <c r="M5" s="25">
        <f t="shared" si="1"/>
        <v>1.3859999999999999</v>
      </c>
      <c r="N5" s="25">
        <f t="shared" si="1"/>
        <v>1.4520000000000002</v>
      </c>
      <c r="O5" s="25">
        <f t="shared" si="1"/>
        <v>1.5179999999999998</v>
      </c>
      <c r="P5" s="25">
        <f t="shared" si="1"/>
        <v>1.5840000000000001</v>
      </c>
      <c r="Q5" s="25">
        <f t="shared" si="1"/>
        <v>1.65</v>
      </c>
      <c r="R5" s="25">
        <f t="shared" si="1"/>
        <v>1.716</v>
      </c>
      <c r="S5" s="25">
        <f t="shared" si="1"/>
        <v>1.782</v>
      </c>
      <c r="T5" s="25">
        <f t="shared" si="1"/>
        <v>1.8480000000000001</v>
      </c>
      <c r="U5" s="25">
        <f t="shared" si="1"/>
        <v>1.9139999999999999</v>
      </c>
      <c r="V5" s="25">
        <f t="shared" si="1"/>
        <v>1.98</v>
      </c>
      <c r="W5" s="8" t="s">
        <v>1</v>
      </c>
      <c r="X5" s="20"/>
    </row>
    <row r="6" spans="1:24" ht="30" customHeight="1">
      <c r="A6" s="7">
        <v>60</v>
      </c>
      <c r="B6" s="25">
        <f t="shared" si="0"/>
        <v>0.72</v>
      </c>
      <c r="C6" s="25">
        <f t="shared" si="0"/>
        <v>0.79200000000000004</v>
      </c>
      <c r="D6" s="25">
        <f t="shared" si="0"/>
        <v>0.86399999999999999</v>
      </c>
      <c r="E6" s="25">
        <f t="shared" si="0"/>
        <v>0.93600000000000005</v>
      </c>
      <c r="F6" s="25">
        <f t="shared" si="0"/>
        <v>1.008</v>
      </c>
      <c r="G6" s="25">
        <f t="shared" si="0"/>
        <v>1.08</v>
      </c>
      <c r="H6" s="25">
        <f t="shared" si="0"/>
        <v>1.1519999999999999</v>
      </c>
      <c r="I6" s="25">
        <f t="shared" si="0"/>
        <v>1.224</v>
      </c>
      <c r="J6" s="25">
        <f t="shared" si="0"/>
        <v>1.296</v>
      </c>
      <c r="K6" s="25">
        <f t="shared" si="0"/>
        <v>1.3680000000000001</v>
      </c>
      <c r="L6" s="25">
        <f t="shared" si="1"/>
        <v>1.44</v>
      </c>
      <c r="M6" s="25">
        <f t="shared" si="1"/>
        <v>1.512</v>
      </c>
      <c r="N6" s="25">
        <f t="shared" si="1"/>
        <v>1.5840000000000001</v>
      </c>
      <c r="O6" s="25">
        <f t="shared" si="1"/>
        <v>1.6559999999999999</v>
      </c>
      <c r="P6" s="25">
        <f t="shared" si="1"/>
        <v>1.728</v>
      </c>
      <c r="Q6" s="25">
        <f t="shared" si="1"/>
        <v>1.8</v>
      </c>
      <c r="R6" s="25">
        <f t="shared" si="1"/>
        <v>1.8720000000000001</v>
      </c>
      <c r="S6" s="25">
        <f t="shared" si="1"/>
        <v>1.944</v>
      </c>
      <c r="T6" s="25">
        <f t="shared" si="1"/>
        <v>2.016</v>
      </c>
      <c r="U6" s="25">
        <f t="shared" si="1"/>
        <v>2.0880000000000001</v>
      </c>
      <c r="V6" s="25">
        <f t="shared" si="1"/>
        <v>2.16</v>
      </c>
      <c r="W6" s="8" t="s">
        <v>1</v>
      </c>
      <c r="X6" s="20"/>
    </row>
    <row r="7" spans="1:24" ht="30" customHeight="1">
      <c r="A7" s="7">
        <v>65</v>
      </c>
      <c r="B7" s="25">
        <f t="shared" si="0"/>
        <v>0.78</v>
      </c>
      <c r="C7" s="25">
        <f t="shared" si="0"/>
        <v>0.85799999999999998</v>
      </c>
      <c r="D7" s="25">
        <f t="shared" si="0"/>
        <v>0.93600000000000005</v>
      </c>
      <c r="E7" s="25">
        <f t="shared" si="0"/>
        <v>1.014</v>
      </c>
      <c r="F7" s="25">
        <f t="shared" si="0"/>
        <v>1.0920000000000001</v>
      </c>
      <c r="G7" s="25">
        <f t="shared" si="0"/>
        <v>1.17</v>
      </c>
      <c r="H7" s="25">
        <f t="shared" si="0"/>
        <v>1.248</v>
      </c>
      <c r="I7" s="25">
        <f t="shared" si="0"/>
        <v>1.3260000000000001</v>
      </c>
      <c r="J7" s="25">
        <f t="shared" si="0"/>
        <v>1.4039999999999999</v>
      </c>
      <c r="K7" s="25">
        <f t="shared" si="0"/>
        <v>1.482</v>
      </c>
      <c r="L7" s="25">
        <f t="shared" si="1"/>
        <v>1.56</v>
      </c>
      <c r="M7" s="25">
        <f t="shared" si="1"/>
        <v>1.6379999999999999</v>
      </c>
      <c r="N7" s="25">
        <f t="shared" si="1"/>
        <v>1.716</v>
      </c>
      <c r="O7" s="25">
        <f t="shared" si="1"/>
        <v>1.794</v>
      </c>
      <c r="P7" s="25">
        <f t="shared" si="1"/>
        <v>1.8720000000000001</v>
      </c>
      <c r="Q7" s="25">
        <f t="shared" si="1"/>
        <v>1.95</v>
      </c>
      <c r="R7" s="25">
        <f t="shared" si="1"/>
        <v>2.028</v>
      </c>
      <c r="S7" s="25">
        <f t="shared" si="1"/>
        <v>2.1059999999999999</v>
      </c>
      <c r="T7" s="25">
        <f t="shared" si="1"/>
        <v>2.1840000000000002</v>
      </c>
      <c r="U7" s="25">
        <f t="shared" si="1"/>
        <v>2.262</v>
      </c>
      <c r="V7" s="25">
        <f t="shared" si="1"/>
        <v>2.34</v>
      </c>
      <c r="W7" s="8" t="s">
        <v>1</v>
      </c>
      <c r="X7" s="20"/>
    </row>
    <row r="8" spans="1:24" ht="30" customHeight="1">
      <c r="A8" s="7">
        <v>70</v>
      </c>
      <c r="B8" s="25">
        <f t="shared" si="0"/>
        <v>0.84</v>
      </c>
      <c r="C8" s="25">
        <f t="shared" si="0"/>
        <v>0.92400000000000004</v>
      </c>
      <c r="D8" s="25">
        <f t="shared" si="0"/>
        <v>1.008</v>
      </c>
      <c r="E8" s="25">
        <f t="shared" si="0"/>
        <v>1.0920000000000001</v>
      </c>
      <c r="F8" s="25">
        <f t="shared" si="0"/>
        <v>1.1759999999999999</v>
      </c>
      <c r="G8" s="25">
        <f t="shared" si="0"/>
        <v>1.26</v>
      </c>
      <c r="H8" s="25">
        <f t="shared" si="0"/>
        <v>1.3440000000000001</v>
      </c>
      <c r="I8" s="25">
        <f t="shared" si="0"/>
        <v>1.4279999999999999</v>
      </c>
      <c r="J8" s="25">
        <f t="shared" si="0"/>
        <v>1.512</v>
      </c>
      <c r="K8" s="25">
        <f t="shared" si="0"/>
        <v>1.5960000000000001</v>
      </c>
      <c r="L8" s="25">
        <f t="shared" si="1"/>
        <v>1.68</v>
      </c>
      <c r="M8" s="25">
        <f t="shared" si="1"/>
        <v>1.764</v>
      </c>
      <c r="N8" s="25">
        <f t="shared" si="1"/>
        <v>1.8480000000000001</v>
      </c>
      <c r="O8" s="25">
        <f t="shared" si="1"/>
        <v>1.9319999999999999</v>
      </c>
      <c r="P8" s="25">
        <f t="shared" si="1"/>
        <v>2.016</v>
      </c>
      <c r="Q8" s="25">
        <f t="shared" si="1"/>
        <v>2.1</v>
      </c>
      <c r="R8" s="25">
        <f t="shared" si="1"/>
        <v>2.1840000000000002</v>
      </c>
      <c r="S8" s="25">
        <f t="shared" si="1"/>
        <v>2.2679999999999998</v>
      </c>
      <c r="T8" s="25">
        <f t="shared" si="1"/>
        <v>2.3519999999999999</v>
      </c>
      <c r="U8" s="25">
        <f t="shared" si="1"/>
        <v>2.4359999999999999</v>
      </c>
      <c r="V8" s="25">
        <f t="shared" si="1"/>
        <v>2.52</v>
      </c>
      <c r="W8" s="8" t="s">
        <v>1</v>
      </c>
      <c r="X8" s="20"/>
    </row>
    <row r="9" spans="1:24" ht="30" customHeight="1">
      <c r="A9" s="7">
        <v>75</v>
      </c>
      <c r="B9" s="25">
        <f t="shared" si="0"/>
        <v>0.9</v>
      </c>
      <c r="C9" s="25">
        <f t="shared" si="0"/>
        <v>0.99</v>
      </c>
      <c r="D9" s="25">
        <f t="shared" si="0"/>
        <v>1.08</v>
      </c>
      <c r="E9" s="25">
        <f t="shared" si="0"/>
        <v>1.17</v>
      </c>
      <c r="F9" s="25">
        <f t="shared" si="0"/>
        <v>1.26</v>
      </c>
      <c r="G9" s="25">
        <f t="shared" si="0"/>
        <v>1.35</v>
      </c>
      <c r="H9" s="25">
        <f t="shared" si="0"/>
        <v>1.44</v>
      </c>
      <c r="I9" s="25">
        <f t="shared" si="0"/>
        <v>1.53</v>
      </c>
      <c r="J9" s="25">
        <f t="shared" si="0"/>
        <v>1.62</v>
      </c>
      <c r="K9" s="25">
        <f t="shared" si="0"/>
        <v>1.71</v>
      </c>
      <c r="L9" s="25">
        <f t="shared" si="1"/>
        <v>1.8</v>
      </c>
      <c r="M9" s="25">
        <f t="shared" si="1"/>
        <v>1.89</v>
      </c>
      <c r="N9" s="25">
        <f t="shared" si="1"/>
        <v>1.98</v>
      </c>
      <c r="O9" s="25">
        <f t="shared" si="1"/>
        <v>2.0699999999999998</v>
      </c>
      <c r="P9" s="25">
        <f t="shared" si="1"/>
        <v>2.16</v>
      </c>
      <c r="Q9" s="25">
        <f t="shared" si="1"/>
        <v>2.25</v>
      </c>
      <c r="R9" s="25">
        <f t="shared" si="1"/>
        <v>2.34</v>
      </c>
      <c r="S9" s="25">
        <f t="shared" si="1"/>
        <v>2.4300000000000002</v>
      </c>
      <c r="T9" s="25">
        <f t="shared" si="1"/>
        <v>2.52</v>
      </c>
      <c r="U9" s="25">
        <f t="shared" si="1"/>
        <v>2.61</v>
      </c>
      <c r="V9" s="25">
        <f t="shared" si="1"/>
        <v>2.7</v>
      </c>
      <c r="W9" s="8" t="s">
        <v>1</v>
      </c>
      <c r="X9" s="20"/>
    </row>
    <row r="10" spans="1:24" ht="30" customHeight="1">
      <c r="A10" s="7">
        <v>80</v>
      </c>
      <c r="B10" s="25">
        <f t="shared" si="0"/>
        <v>0.96</v>
      </c>
      <c r="C10" s="25">
        <f t="shared" si="0"/>
        <v>1.056</v>
      </c>
      <c r="D10" s="25">
        <f t="shared" si="0"/>
        <v>1.1519999999999999</v>
      </c>
      <c r="E10" s="25">
        <f t="shared" si="0"/>
        <v>1.248</v>
      </c>
      <c r="F10" s="25">
        <f t="shared" si="0"/>
        <v>1.3440000000000001</v>
      </c>
      <c r="G10" s="25">
        <f t="shared" si="0"/>
        <v>1.44</v>
      </c>
      <c r="H10" s="25">
        <f t="shared" si="0"/>
        <v>1.536</v>
      </c>
      <c r="I10" s="25">
        <f t="shared" si="0"/>
        <v>1.6319999999999999</v>
      </c>
      <c r="J10" s="25">
        <f t="shared" si="0"/>
        <v>1.728</v>
      </c>
      <c r="K10" s="25">
        <f t="shared" si="0"/>
        <v>1.8240000000000001</v>
      </c>
      <c r="L10" s="25">
        <f t="shared" si="1"/>
        <v>1.92</v>
      </c>
      <c r="M10" s="25">
        <f t="shared" si="1"/>
        <v>2.016</v>
      </c>
      <c r="N10" s="25">
        <f t="shared" si="1"/>
        <v>2.1120000000000001</v>
      </c>
      <c r="O10" s="25">
        <f t="shared" si="1"/>
        <v>2.2080000000000002</v>
      </c>
      <c r="P10" s="25">
        <f t="shared" si="1"/>
        <v>2.3039999999999998</v>
      </c>
      <c r="Q10" s="25">
        <f t="shared" si="1"/>
        <v>2.4</v>
      </c>
      <c r="R10" s="25">
        <f t="shared" si="1"/>
        <v>2.496</v>
      </c>
      <c r="S10" s="25">
        <f t="shared" si="1"/>
        <v>2.5920000000000001</v>
      </c>
      <c r="T10" s="25">
        <f t="shared" si="1"/>
        <v>2.6880000000000002</v>
      </c>
      <c r="U10" s="25">
        <f t="shared" si="1"/>
        <v>2.7839999999999998</v>
      </c>
      <c r="V10" s="25">
        <f t="shared" si="1"/>
        <v>2.88</v>
      </c>
      <c r="W10" s="8" t="s">
        <v>1</v>
      </c>
      <c r="X10" s="20"/>
    </row>
    <row r="11" spans="1:24" ht="30" customHeight="1">
      <c r="A11" s="7">
        <v>85</v>
      </c>
      <c r="B11" s="25">
        <f t="shared" si="0"/>
        <v>1.02</v>
      </c>
      <c r="C11" s="25">
        <f t="shared" si="0"/>
        <v>1.1220000000000001</v>
      </c>
      <c r="D11" s="25">
        <f t="shared" si="0"/>
        <v>1.224</v>
      </c>
      <c r="E11" s="25">
        <f t="shared" si="0"/>
        <v>1.3260000000000001</v>
      </c>
      <c r="F11" s="25">
        <f t="shared" si="0"/>
        <v>1.4279999999999999</v>
      </c>
      <c r="G11" s="25">
        <f t="shared" si="0"/>
        <v>1.53</v>
      </c>
      <c r="H11" s="25">
        <f t="shared" si="0"/>
        <v>1.6319999999999999</v>
      </c>
      <c r="I11" s="25">
        <f t="shared" si="0"/>
        <v>1.734</v>
      </c>
      <c r="J11" s="25">
        <f t="shared" si="0"/>
        <v>1.8360000000000001</v>
      </c>
      <c r="K11" s="25">
        <f t="shared" si="0"/>
        <v>1.9379999999999999</v>
      </c>
      <c r="L11" s="25">
        <f t="shared" si="1"/>
        <v>2.04</v>
      </c>
      <c r="M11" s="25">
        <f t="shared" si="1"/>
        <v>2.1419999999999999</v>
      </c>
      <c r="N11" s="25">
        <f t="shared" si="1"/>
        <v>2.2440000000000002</v>
      </c>
      <c r="O11" s="25">
        <f t="shared" si="1"/>
        <v>2.3460000000000001</v>
      </c>
      <c r="P11" s="25">
        <f t="shared" si="1"/>
        <v>2.448</v>
      </c>
      <c r="Q11" s="25">
        <f t="shared" si="1"/>
        <v>2.5499999999999998</v>
      </c>
      <c r="R11" s="25">
        <f t="shared" si="1"/>
        <v>2.6520000000000001</v>
      </c>
      <c r="S11" s="25">
        <f t="shared" si="1"/>
        <v>2.754</v>
      </c>
      <c r="T11" s="25">
        <f t="shared" si="1"/>
        <v>2.8559999999999999</v>
      </c>
      <c r="U11" s="25">
        <f t="shared" si="1"/>
        <v>2.9580000000000002</v>
      </c>
      <c r="V11" s="25">
        <f t="shared" si="1"/>
        <v>3.06</v>
      </c>
      <c r="W11" s="8" t="s">
        <v>1</v>
      </c>
      <c r="X11" s="20"/>
    </row>
    <row r="12" spans="1:24" ht="30" customHeight="1">
      <c r="A12" s="7">
        <v>90</v>
      </c>
      <c r="B12" s="25">
        <f t="shared" si="0"/>
        <v>1.08</v>
      </c>
      <c r="C12" s="25">
        <f t="shared" si="0"/>
        <v>1.1880000000000002</v>
      </c>
      <c r="D12" s="25">
        <f t="shared" si="0"/>
        <v>1.296</v>
      </c>
      <c r="E12" s="25">
        <f t="shared" si="0"/>
        <v>1.4039999999999999</v>
      </c>
      <c r="F12" s="25">
        <f t="shared" si="0"/>
        <v>1.5119999999999998</v>
      </c>
      <c r="G12" s="25">
        <f t="shared" si="0"/>
        <v>1.62</v>
      </c>
      <c r="H12" s="25">
        <f t="shared" si="0"/>
        <v>1.728</v>
      </c>
      <c r="I12" s="25">
        <f t="shared" si="0"/>
        <v>1.8360000000000001</v>
      </c>
      <c r="J12" s="25">
        <f t="shared" si="0"/>
        <v>1.944</v>
      </c>
      <c r="K12" s="25">
        <f t="shared" si="0"/>
        <v>2.052</v>
      </c>
      <c r="L12" s="25">
        <f t="shared" si="1"/>
        <v>2.16</v>
      </c>
      <c r="M12" s="25">
        <f t="shared" si="1"/>
        <v>2.2679999999999998</v>
      </c>
      <c r="N12" s="25">
        <f t="shared" si="1"/>
        <v>2.3760000000000003</v>
      </c>
      <c r="O12" s="25">
        <f t="shared" si="1"/>
        <v>2.4839999999999995</v>
      </c>
      <c r="P12" s="25">
        <f t="shared" si="1"/>
        <v>2.5920000000000001</v>
      </c>
      <c r="Q12" s="25">
        <f t="shared" si="1"/>
        <v>2.7</v>
      </c>
      <c r="R12" s="25">
        <f t="shared" si="1"/>
        <v>2.8079999999999998</v>
      </c>
      <c r="S12" s="25">
        <f t="shared" si="1"/>
        <v>2.9160000000000004</v>
      </c>
      <c r="T12" s="25">
        <f t="shared" si="1"/>
        <v>3.0239999999999996</v>
      </c>
      <c r="U12" s="25">
        <f t="shared" si="1"/>
        <v>3.1320000000000001</v>
      </c>
      <c r="V12" s="25">
        <f t="shared" si="1"/>
        <v>3.24</v>
      </c>
      <c r="W12" s="8" t="s">
        <v>1</v>
      </c>
      <c r="X12" s="20"/>
    </row>
    <row r="13" spans="1:24" ht="30" customHeight="1">
      <c r="A13" s="7">
        <v>95</v>
      </c>
      <c r="B13" s="25">
        <f t="shared" si="0"/>
        <v>1.1399999999999999</v>
      </c>
      <c r="C13" s="25">
        <f t="shared" si="0"/>
        <v>1.2540000000000002</v>
      </c>
      <c r="D13" s="25">
        <f t="shared" si="0"/>
        <v>1.3680000000000001</v>
      </c>
      <c r="E13" s="25">
        <f t="shared" si="0"/>
        <v>1.482</v>
      </c>
      <c r="F13" s="25">
        <f t="shared" si="0"/>
        <v>1.5959999999999999</v>
      </c>
      <c r="G13" s="25">
        <f t="shared" si="0"/>
        <v>1.71</v>
      </c>
      <c r="H13" s="25">
        <f t="shared" si="0"/>
        <v>1.8240000000000001</v>
      </c>
      <c r="I13" s="25">
        <f t="shared" si="0"/>
        <v>1.9379999999999999</v>
      </c>
      <c r="J13" s="25">
        <f t="shared" si="0"/>
        <v>2.052</v>
      </c>
      <c r="K13" s="25">
        <f t="shared" si="0"/>
        <v>2.1659999999999999</v>
      </c>
      <c r="L13" s="25">
        <f t="shared" si="1"/>
        <v>2.2799999999999998</v>
      </c>
      <c r="M13" s="25">
        <f t="shared" si="1"/>
        <v>2.3940000000000001</v>
      </c>
      <c r="N13" s="25">
        <f t="shared" si="1"/>
        <v>2.5080000000000005</v>
      </c>
      <c r="O13" s="25">
        <f t="shared" si="1"/>
        <v>2.6219999999999994</v>
      </c>
      <c r="P13" s="25">
        <f t="shared" si="1"/>
        <v>2.7360000000000002</v>
      </c>
      <c r="Q13" s="25">
        <f t="shared" si="1"/>
        <v>2.85</v>
      </c>
      <c r="R13" s="25">
        <f t="shared" si="1"/>
        <v>2.964</v>
      </c>
      <c r="S13" s="25">
        <f t="shared" si="1"/>
        <v>3.0780000000000003</v>
      </c>
      <c r="T13" s="25">
        <f t="shared" si="1"/>
        <v>3.1919999999999997</v>
      </c>
      <c r="U13" s="25">
        <f t="shared" si="1"/>
        <v>3.306</v>
      </c>
      <c r="V13" s="25">
        <f t="shared" si="1"/>
        <v>3.42</v>
      </c>
      <c r="W13" s="8" t="s">
        <v>1</v>
      </c>
      <c r="X13" s="20"/>
    </row>
    <row r="14" spans="1:24" ht="30" customHeight="1">
      <c r="A14" s="7">
        <v>100</v>
      </c>
      <c r="B14" s="25">
        <f t="shared" si="0"/>
        <v>1.2</v>
      </c>
      <c r="C14" s="25">
        <f t="shared" si="0"/>
        <v>1.3200000000000003</v>
      </c>
      <c r="D14" s="25">
        <f t="shared" si="0"/>
        <v>1.44</v>
      </c>
      <c r="E14" s="25">
        <f t="shared" si="0"/>
        <v>1.56</v>
      </c>
      <c r="F14" s="25">
        <f t="shared" si="0"/>
        <v>1.68</v>
      </c>
      <c r="G14" s="25">
        <f t="shared" si="0"/>
        <v>1.8</v>
      </c>
      <c r="H14" s="25">
        <f t="shared" si="0"/>
        <v>1.92</v>
      </c>
      <c r="I14" s="25">
        <f t="shared" si="0"/>
        <v>2.04</v>
      </c>
      <c r="J14" s="25">
        <f t="shared" si="0"/>
        <v>2.16</v>
      </c>
      <c r="K14" s="25">
        <f t="shared" si="0"/>
        <v>2.2799999999999998</v>
      </c>
      <c r="L14" s="25">
        <f t="shared" si="1"/>
        <v>2.4</v>
      </c>
      <c r="M14" s="25">
        <f t="shared" si="1"/>
        <v>2.52</v>
      </c>
      <c r="N14" s="25">
        <f t="shared" si="1"/>
        <v>2.6400000000000006</v>
      </c>
      <c r="O14" s="25">
        <f t="shared" si="1"/>
        <v>2.76</v>
      </c>
      <c r="P14" s="25">
        <f t="shared" si="1"/>
        <v>2.88</v>
      </c>
      <c r="Q14" s="25">
        <f t="shared" si="1"/>
        <v>3</v>
      </c>
      <c r="R14" s="25">
        <f t="shared" si="1"/>
        <v>3.12</v>
      </c>
      <c r="S14" s="25">
        <f t="shared" si="1"/>
        <v>3.24</v>
      </c>
      <c r="T14" s="25">
        <f t="shared" si="1"/>
        <v>3.36</v>
      </c>
      <c r="U14" s="25">
        <f t="shared" si="1"/>
        <v>3.48</v>
      </c>
      <c r="V14" s="25">
        <f t="shared" si="1"/>
        <v>3.6</v>
      </c>
      <c r="W14" s="8" t="s">
        <v>1</v>
      </c>
      <c r="X14" s="20"/>
    </row>
    <row r="15" spans="1:24" ht="30" customHeight="1">
      <c r="A15" s="7">
        <v>105</v>
      </c>
      <c r="B15" s="25">
        <f t="shared" si="0"/>
        <v>1.26</v>
      </c>
      <c r="C15" s="25">
        <f t="shared" si="0"/>
        <v>1.3860000000000001</v>
      </c>
      <c r="D15" s="25">
        <f t="shared" si="0"/>
        <v>1.512</v>
      </c>
      <c r="E15" s="25">
        <f t="shared" si="0"/>
        <v>1.6379999999999999</v>
      </c>
      <c r="F15" s="25">
        <f t="shared" si="0"/>
        <v>1.764</v>
      </c>
      <c r="G15" s="25">
        <f t="shared" si="0"/>
        <v>1.89</v>
      </c>
      <c r="H15" s="25">
        <f t="shared" si="0"/>
        <v>2.016</v>
      </c>
      <c r="I15" s="25">
        <f t="shared" si="0"/>
        <v>2.1419999999999999</v>
      </c>
      <c r="J15" s="25">
        <f t="shared" si="0"/>
        <v>2.2679999999999998</v>
      </c>
      <c r="K15" s="25">
        <f t="shared" si="0"/>
        <v>2.3940000000000001</v>
      </c>
      <c r="L15" s="25">
        <f t="shared" si="1"/>
        <v>2.52</v>
      </c>
      <c r="M15" s="25">
        <f t="shared" si="1"/>
        <v>2.6459999999999999</v>
      </c>
      <c r="N15" s="25">
        <f t="shared" si="1"/>
        <v>2.7720000000000002</v>
      </c>
      <c r="O15" s="25">
        <f t="shared" si="1"/>
        <v>2.8979999999999997</v>
      </c>
      <c r="P15" s="25">
        <f t="shared" si="1"/>
        <v>3.024</v>
      </c>
      <c r="Q15" s="25">
        <f t="shared" si="1"/>
        <v>3.15</v>
      </c>
      <c r="R15" s="25">
        <f t="shared" si="1"/>
        <v>3.2759999999999998</v>
      </c>
      <c r="S15" s="25">
        <f t="shared" si="1"/>
        <v>3.4020000000000001</v>
      </c>
      <c r="T15" s="25">
        <f t="shared" si="1"/>
        <v>3.528</v>
      </c>
      <c r="U15" s="25">
        <f t="shared" si="1"/>
        <v>3.6539999999999999</v>
      </c>
      <c r="V15" s="25">
        <f t="shared" si="1"/>
        <v>3.78</v>
      </c>
      <c r="W15" s="8" t="s">
        <v>1</v>
      </c>
      <c r="X15" s="20"/>
    </row>
    <row r="16" spans="1:24" ht="30" customHeight="1">
      <c r="A16" s="7">
        <v>110</v>
      </c>
      <c r="B16" s="25">
        <f t="shared" si="0"/>
        <v>1.32</v>
      </c>
      <c r="C16" s="25">
        <f t="shared" si="0"/>
        <v>1.4520000000000002</v>
      </c>
      <c r="D16" s="25">
        <f t="shared" si="0"/>
        <v>1.5840000000000001</v>
      </c>
      <c r="E16" s="25">
        <f t="shared" si="0"/>
        <v>1.716</v>
      </c>
      <c r="F16" s="25">
        <f t="shared" si="0"/>
        <v>1.8480000000000001</v>
      </c>
      <c r="G16" s="25">
        <f t="shared" si="0"/>
        <v>1.98</v>
      </c>
      <c r="H16" s="25">
        <f t="shared" si="0"/>
        <v>2.1120000000000001</v>
      </c>
      <c r="I16" s="25">
        <f t="shared" si="0"/>
        <v>2.2440000000000002</v>
      </c>
      <c r="J16" s="25">
        <f t="shared" si="0"/>
        <v>2.3759999999999999</v>
      </c>
      <c r="K16" s="25">
        <f t="shared" si="0"/>
        <v>2.508</v>
      </c>
      <c r="L16" s="25">
        <f t="shared" si="1"/>
        <v>2.64</v>
      </c>
      <c r="M16" s="25">
        <f t="shared" si="1"/>
        <v>2.7719999999999998</v>
      </c>
      <c r="N16" s="25">
        <f t="shared" si="1"/>
        <v>2.9040000000000004</v>
      </c>
      <c r="O16" s="25">
        <f t="shared" si="1"/>
        <v>3.0359999999999996</v>
      </c>
      <c r="P16" s="25">
        <f t="shared" si="1"/>
        <v>3.1680000000000001</v>
      </c>
      <c r="Q16" s="25">
        <f t="shared" si="1"/>
        <v>3.3</v>
      </c>
      <c r="R16" s="25">
        <f t="shared" si="1"/>
        <v>3.4319999999999999</v>
      </c>
      <c r="S16" s="25">
        <f t="shared" si="1"/>
        <v>3.5640000000000001</v>
      </c>
      <c r="T16" s="25">
        <f t="shared" si="1"/>
        <v>3.6960000000000002</v>
      </c>
      <c r="U16" s="25">
        <f t="shared" si="1"/>
        <v>3.8279999999999998</v>
      </c>
      <c r="V16" s="25">
        <f t="shared" si="1"/>
        <v>3.96</v>
      </c>
      <c r="W16" s="8" t="s">
        <v>1</v>
      </c>
      <c r="X16" s="20"/>
    </row>
    <row r="17" spans="1:24" ht="30" customHeight="1">
      <c r="A17" s="7">
        <v>115</v>
      </c>
      <c r="B17" s="25">
        <f t="shared" si="0"/>
        <v>1.38</v>
      </c>
      <c r="C17" s="25">
        <f t="shared" si="0"/>
        <v>1.5180000000000002</v>
      </c>
      <c r="D17" s="25">
        <f t="shared" si="0"/>
        <v>1.6559999999999999</v>
      </c>
      <c r="E17" s="25">
        <f t="shared" si="0"/>
        <v>1.794</v>
      </c>
      <c r="F17" s="25">
        <f t="shared" si="0"/>
        <v>1.9319999999999999</v>
      </c>
      <c r="G17" s="25">
        <f t="shared" si="0"/>
        <v>2.0699999999999998</v>
      </c>
      <c r="H17" s="25">
        <f t="shared" si="0"/>
        <v>2.2080000000000002</v>
      </c>
      <c r="I17" s="25">
        <f t="shared" si="0"/>
        <v>2.3460000000000001</v>
      </c>
      <c r="J17" s="25">
        <f t="shared" si="0"/>
        <v>2.484</v>
      </c>
      <c r="K17" s="25">
        <f t="shared" si="0"/>
        <v>2.6219999999999999</v>
      </c>
      <c r="L17" s="25">
        <f t="shared" si="1"/>
        <v>2.76</v>
      </c>
      <c r="M17" s="25">
        <f t="shared" si="1"/>
        <v>2.8980000000000001</v>
      </c>
      <c r="N17" s="25">
        <f t="shared" si="1"/>
        <v>3.0360000000000005</v>
      </c>
      <c r="O17" s="25">
        <f t="shared" si="1"/>
        <v>3.1739999999999995</v>
      </c>
      <c r="P17" s="25">
        <f t="shared" si="1"/>
        <v>3.3119999999999998</v>
      </c>
      <c r="Q17" s="25">
        <f t="shared" si="1"/>
        <v>3.45</v>
      </c>
      <c r="R17" s="25">
        <f t="shared" si="1"/>
        <v>3.5880000000000001</v>
      </c>
      <c r="S17" s="25">
        <f t="shared" si="1"/>
        <v>3.726</v>
      </c>
      <c r="T17" s="25">
        <f t="shared" si="1"/>
        <v>3.8639999999999999</v>
      </c>
      <c r="U17" s="25">
        <f t="shared" si="1"/>
        <v>4.0019999999999998</v>
      </c>
      <c r="V17" s="25">
        <f t="shared" si="1"/>
        <v>4.1399999999999997</v>
      </c>
      <c r="W17" s="8" t="s">
        <v>1</v>
      </c>
      <c r="X17" s="20"/>
    </row>
    <row r="18" spans="1:24" ht="30" customHeight="1" thickBot="1">
      <c r="A18" s="15">
        <v>120</v>
      </c>
      <c r="B18" s="25">
        <f t="shared" si="0"/>
        <v>1.44</v>
      </c>
      <c r="C18" s="25">
        <f t="shared" si="0"/>
        <v>1.5840000000000001</v>
      </c>
      <c r="D18" s="25">
        <f t="shared" si="0"/>
        <v>1.728</v>
      </c>
      <c r="E18" s="25">
        <f t="shared" si="0"/>
        <v>1.8720000000000001</v>
      </c>
      <c r="F18" s="25">
        <f t="shared" si="0"/>
        <v>2.016</v>
      </c>
      <c r="G18" s="25">
        <f t="shared" si="0"/>
        <v>2.16</v>
      </c>
      <c r="H18" s="25">
        <f t="shared" si="0"/>
        <v>2.3039999999999998</v>
      </c>
      <c r="I18" s="25">
        <f t="shared" si="0"/>
        <v>2.448</v>
      </c>
      <c r="J18" s="25">
        <f t="shared" si="0"/>
        <v>2.5920000000000001</v>
      </c>
      <c r="K18" s="25">
        <f t="shared" si="0"/>
        <v>2.7360000000000002</v>
      </c>
      <c r="L18" s="25">
        <f t="shared" si="1"/>
        <v>2.88</v>
      </c>
      <c r="M18" s="25">
        <f t="shared" si="1"/>
        <v>3.024</v>
      </c>
      <c r="N18" s="25">
        <f t="shared" si="1"/>
        <v>3.1680000000000001</v>
      </c>
      <c r="O18" s="25">
        <f t="shared" si="1"/>
        <v>3.3119999999999998</v>
      </c>
      <c r="P18" s="25">
        <f t="shared" si="1"/>
        <v>3.456</v>
      </c>
      <c r="Q18" s="25">
        <f t="shared" si="1"/>
        <v>3.6</v>
      </c>
      <c r="R18" s="25">
        <f t="shared" si="1"/>
        <v>3.7440000000000002</v>
      </c>
      <c r="S18" s="25">
        <f t="shared" si="1"/>
        <v>3.8879999999999999</v>
      </c>
      <c r="T18" s="25">
        <f t="shared" si="1"/>
        <v>4.032</v>
      </c>
      <c r="U18" s="25">
        <f t="shared" si="1"/>
        <v>4.1760000000000002</v>
      </c>
      <c r="V18" s="25">
        <f t="shared" si="1"/>
        <v>4.32</v>
      </c>
      <c r="W18" s="16" t="s">
        <v>1</v>
      </c>
      <c r="X18" s="20"/>
    </row>
    <row r="19" spans="1:24" ht="30" customHeight="1">
      <c r="A19" s="2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20"/>
    </row>
    <row r="20" spans="1:24" ht="30" customHeight="1">
      <c r="A20" s="21"/>
      <c r="B20" s="12"/>
      <c r="C20" s="12"/>
      <c r="D20" s="12"/>
      <c r="E20" s="12"/>
      <c r="F20" s="12"/>
      <c r="G20" s="94" t="s">
        <v>8</v>
      </c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12"/>
      <c r="S20" s="12"/>
      <c r="T20" s="12"/>
      <c r="U20" s="12"/>
      <c r="V20" s="12"/>
      <c r="W20" s="12"/>
      <c r="X20" s="20"/>
    </row>
    <row r="21" spans="1:24" ht="30" customHeight="1">
      <c r="A21" s="21"/>
      <c r="B21" s="95" t="s">
        <v>9</v>
      </c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12"/>
      <c r="V21" s="12"/>
      <c r="W21" s="12"/>
      <c r="X21" s="20"/>
    </row>
    <row r="22" spans="1:24" ht="30" customHeight="1" thickBot="1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3"/>
    </row>
  </sheetData>
  <mergeCells count="3">
    <mergeCell ref="G20:Q20"/>
    <mergeCell ref="B21:T21"/>
    <mergeCell ref="F1:P2"/>
  </mergeCells>
  <conditionalFormatting sqref="B4:V18">
    <cfRule type="colorScale" priority="1">
      <colorScale>
        <cfvo type="min" val="0"/>
        <cfvo type="percentile" val="50"/>
        <cfvo type="max" val="0"/>
        <color theme="3" tint="0.59999389629810485"/>
        <color rgb="FFFFEB84"/>
        <color theme="9" tint="-0.249977111117893"/>
      </colorScale>
    </cfRule>
    <cfRule type="colorScale" priority="2">
      <colorScale>
        <cfvo type="min" val="0"/>
        <cfvo type="max" val="0"/>
        <color theme="3" tint="0.59999389629810485"/>
        <color rgb="FFFF0000"/>
      </colorScale>
    </cfRule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77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F22"/>
  <sheetViews>
    <sheetView view="pageBreakPreview" zoomScaleSheetLayoutView="100" workbookViewId="0">
      <selection activeCell="G19" sqref="G19"/>
    </sheetView>
  </sheetViews>
  <sheetFormatPr defaultRowHeight="15"/>
  <cols>
    <col min="1" max="1" width="16.140625" bestFit="1" customWidth="1"/>
    <col min="2" max="31" width="7.140625" customWidth="1"/>
    <col min="32" max="32" width="9.140625" style="1"/>
  </cols>
  <sheetData>
    <row r="1" spans="1:32" ht="30" customHeight="1" thickBot="1">
      <c r="B1" s="104" t="s">
        <v>10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6"/>
    </row>
    <row r="2" spans="1:32" ht="30" customHeight="1">
      <c r="A2" s="4" t="s">
        <v>0</v>
      </c>
      <c r="B2" s="5">
        <v>0.7</v>
      </c>
      <c r="C2" s="5">
        <v>0.8</v>
      </c>
      <c r="D2" s="5">
        <v>0.9</v>
      </c>
      <c r="E2" s="5">
        <v>1</v>
      </c>
      <c r="F2" s="5">
        <v>1.1000000000000001</v>
      </c>
      <c r="G2" s="5">
        <v>1.2</v>
      </c>
      <c r="H2" s="5">
        <v>1.3</v>
      </c>
      <c r="I2" s="5">
        <v>1.4</v>
      </c>
      <c r="J2" s="5">
        <v>1.5</v>
      </c>
      <c r="K2" s="5">
        <v>1.6</v>
      </c>
      <c r="L2" s="5">
        <v>1.7</v>
      </c>
      <c r="M2" s="5">
        <v>1.8</v>
      </c>
      <c r="N2" s="5">
        <v>1.9</v>
      </c>
      <c r="O2" s="5">
        <v>2</v>
      </c>
      <c r="P2" s="17">
        <v>2.5</v>
      </c>
      <c r="Q2" s="17">
        <v>3</v>
      </c>
      <c r="R2" s="5">
        <v>3.5</v>
      </c>
      <c r="S2" s="5">
        <v>4</v>
      </c>
      <c r="T2" s="17">
        <v>4.5</v>
      </c>
      <c r="U2" s="17">
        <v>5</v>
      </c>
      <c r="V2" s="5">
        <v>5.5</v>
      </c>
      <c r="W2" s="17">
        <v>6</v>
      </c>
      <c r="X2" s="17">
        <v>6.5</v>
      </c>
      <c r="Y2" s="5">
        <v>7</v>
      </c>
      <c r="Z2" s="17">
        <v>7.5</v>
      </c>
      <c r="AA2" s="17">
        <v>8</v>
      </c>
      <c r="AB2" s="5">
        <v>8.5</v>
      </c>
      <c r="AC2" s="17">
        <v>9</v>
      </c>
      <c r="AD2" s="17">
        <v>9.5</v>
      </c>
      <c r="AE2" s="5">
        <v>10</v>
      </c>
      <c r="AF2" s="40"/>
    </row>
    <row r="3" spans="1:32" ht="30" customHeight="1">
      <c r="A3" s="7">
        <v>50</v>
      </c>
      <c r="B3" s="26">
        <f>B$2*($A3*60)/1000</f>
        <v>2.1</v>
      </c>
      <c r="C3" s="26">
        <f t="shared" ref="C3:AE12" si="0">C$2*($A3*60)/1000</f>
        <v>2.4</v>
      </c>
      <c r="D3" s="26">
        <f t="shared" si="0"/>
        <v>2.7</v>
      </c>
      <c r="E3" s="26">
        <f t="shared" si="0"/>
        <v>3</v>
      </c>
      <c r="F3" s="26">
        <f t="shared" si="0"/>
        <v>3.3000000000000003</v>
      </c>
      <c r="G3" s="26">
        <f t="shared" si="0"/>
        <v>3.6</v>
      </c>
      <c r="H3" s="26">
        <f t="shared" si="0"/>
        <v>3.9</v>
      </c>
      <c r="I3" s="26">
        <f t="shared" si="0"/>
        <v>4.2</v>
      </c>
      <c r="J3" s="26">
        <f t="shared" si="0"/>
        <v>4.5</v>
      </c>
      <c r="K3" s="26">
        <f t="shared" si="0"/>
        <v>4.8</v>
      </c>
      <c r="L3" s="26">
        <f t="shared" si="0"/>
        <v>5.0999999999999996</v>
      </c>
      <c r="M3" s="26">
        <f t="shared" si="0"/>
        <v>5.4</v>
      </c>
      <c r="N3" s="26">
        <f t="shared" si="0"/>
        <v>5.7</v>
      </c>
      <c r="O3" s="26">
        <f t="shared" si="0"/>
        <v>6</v>
      </c>
      <c r="P3" s="26">
        <f t="shared" si="0"/>
        <v>7.5</v>
      </c>
      <c r="Q3" s="26">
        <f t="shared" si="0"/>
        <v>9</v>
      </c>
      <c r="R3" s="26">
        <f t="shared" si="0"/>
        <v>10.5</v>
      </c>
      <c r="S3" s="26">
        <f t="shared" si="0"/>
        <v>12</v>
      </c>
      <c r="T3" s="26">
        <f t="shared" si="0"/>
        <v>13.5</v>
      </c>
      <c r="U3" s="26">
        <f t="shared" si="0"/>
        <v>15</v>
      </c>
      <c r="V3" s="26">
        <f t="shared" si="0"/>
        <v>16.5</v>
      </c>
      <c r="W3" s="26">
        <f t="shared" si="0"/>
        <v>18</v>
      </c>
      <c r="X3" s="26">
        <f t="shared" si="0"/>
        <v>19.5</v>
      </c>
      <c r="Y3" s="26">
        <f t="shared" si="0"/>
        <v>21</v>
      </c>
      <c r="Z3" s="26">
        <f t="shared" si="0"/>
        <v>22.5</v>
      </c>
      <c r="AA3" s="26">
        <f t="shared" si="0"/>
        <v>24</v>
      </c>
      <c r="AB3" s="26">
        <f t="shared" si="0"/>
        <v>25.5</v>
      </c>
      <c r="AC3" s="26">
        <f t="shared" si="0"/>
        <v>27</v>
      </c>
      <c r="AD3" s="26">
        <f t="shared" si="0"/>
        <v>28.5</v>
      </c>
      <c r="AE3" s="26">
        <f t="shared" si="0"/>
        <v>30</v>
      </c>
      <c r="AF3" s="34" t="s">
        <v>1</v>
      </c>
    </row>
    <row r="4" spans="1:32" ht="30" customHeight="1">
      <c r="A4" s="7">
        <v>55</v>
      </c>
      <c r="B4" s="26">
        <f t="shared" ref="B4:Q17" si="1">B$2*($A4*60)/1000</f>
        <v>2.31</v>
      </c>
      <c r="C4" s="26">
        <f t="shared" si="1"/>
        <v>2.64</v>
      </c>
      <c r="D4" s="26">
        <f t="shared" si="1"/>
        <v>2.97</v>
      </c>
      <c r="E4" s="26">
        <f t="shared" si="1"/>
        <v>3.3</v>
      </c>
      <c r="F4" s="26">
        <f t="shared" si="1"/>
        <v>3.6300000000000003</v>
      </c>
      <c r="G4" s="26">
        <f t="shared" si="1"/>
        <v>3.96</v>
      </c>
      <c r="H4" s="26">
        <f t="shared" si="1"/>
        <v>4.29</v>
      </c>
      <c r="I4" s="26">
        <f t="shared" si="1"/>
        <v>4.62</v>
      </c>
      <c r="J4" s="26">
        <f t="shared" si="1"/>
        <v>4.95</v>
      </c>
      <c r="K4" s="26">
        <f t="shared" si="1"/>
        <v>5.28</v>
      </c>
      <c r="L4" s="26">
        <f t="shared" si="1"/>
        <v>5.61</v>
      </c>
      <c r="M4" s="26">
        <f t="shared" si="1"/>
        <v>5.94</v>
      </c>
      <c r="N4" s="26">
        <f t="shared" si="1"/>
        <v>6.27</v>
      </c>
      <c r="O4" s="26">
        <f t="shared" si="1"/>
        <v>6.6</v>
      </c>
      <c r="P4" s="26">
        <f t="shared" si="1"/>
        <v>8.25</v>
      </c>
      <c r="Q4" s="26">
        <f t="shared" si="1"/>
        <v>9.9</v>
      </c>
      <c r="R4" s="26">
        <f t="shared" si="0"/>
        <v>11.55</v>
      </c>
      <c r="S4" s="26">
        <f t="shared" si="0"/>
        <v>13.2</v>
      </c>
      <c r="T4" s="26">
        <f t="shared" si="0"/>
        <v>14.85</v>
      </c>
      <c r="U4" s="26">
        <f t="shared" si="0"/>
        <v>16.5</v>
      </c>
      <c r="V4" s="26">
        <f t="shared" si="0"/>
        <v>18.149999999999999</v>
      </c>
      <c r="W4" s="26">
        <f t="shared" si="0"/>
        <v>19.8</v>
      </c>
      <c r="X4" s="26">
        <f t="shared" si="0"/>
        <v>21.45</v>
      </c>
      <c r="Y4" s="26">
        <f t="shared" si="0"/>
        <v>23.1</v>
      </c>
      <c r="Z4" s="26">
        <f t="shared" si="0"/>
        <v>24.75</v>
      </c>
      <c r="AA4" s="26">
        <f t="shared" si="0"/>
        <v>26.4</v>
      </c>
      <c r="AB4" s="26">
        <f t="shared" si="0"/>
        <v>28.05</v>
      </c>
      <c r="AC4" s="26">
        <f t="shared" si="0"/>
        <v>29.7</v>
      </c>
      <c r="AD4" s="26">
        <f t="shared" si="0"/>
        <v>31.35</v>
      </c>
      <c r="AE4" s="26">
        <f t="shared" si="0"/>
        <v>33</v>
      </c>
      <c r="AF4" s="34" t="s">
        <v>1</v>
      </c>
    </row>
    <row r="5" spans="1:32" ht="30" customHeight="1">
      <c r="A5" s="7">
        <v>60</v>
      </c>
      <c r="B5" s="26">
        <f t="shared" si="1"/>
        <v>2.52</v>
      </c>
      <c r="C5" s="26">
        <f t="shared" si="0"/>
        <v>2.88</v>
      </c>
      <c r="D5" s="26">
        <f t="shared" si="0"/>
        <v>3.24</v>
      </c>
      <c r="E5" s="26">
        <f t="shared" si="0"/>
        <v>3.6</v>
      </c>
      <c r="F5" s="26">
        <f t="shared" si="0"/>
        <v>3.9600000000000004</v>
      </c>
      <c r="G5" s="26">
        <f t="shared" si="0"/>
        <v>4.32</v>
      </c>
      <c r="H5" s="26">
        <f t="shared" si="0"/>
        <v>4.68</v>
      </c>
      <c r="I5" s="26">
        <f t="shared" si="0"/>
        <v>5.04</v>
      </c>
      <c r="J5" s="26">
        <f t="shared" si="0"/>
        <v>5.4</v>
      </c>
      <c r="K5" s="26">
        <f t="shared" si="0"/>
        <v>5.76</v>
      </c>
      <c r="L5" s="26">
        <f t="shared" si="0"/>
        <v>6.12</v>
      </c>
      <c r="M5" s="26">
        <f t="shared" si="0"/>
        <v>6.48</v>
      </c>
      <c r="N5" s="26">
        <f t="shared" si="0"/>
        <v>6.84</v>
      </c>
      <c r="O5" s="26">
        <f t="shared" si="0"/>
        <v>7.2</v>
      </c>
      <c r="P5" s="26">
        <f t="shared" si="0"/>
        <v>9</v>
      </c>
      <c r="Q5" s="26">
        <f t="shared" si="0"/>
        <v>10.8</v>
      </c>
      <c r="R5" s="26">
        <f t="shared" si="0"/>
        <v>12.6</v>
      </c>
      <c r="S5" s="26">
        <f t="shared" si="0"/>
        <v>14.4</v>
      </c>
      <c r="T5" s="26">
        <f t="shared" si="0"/>
        <v>16.2</v>
      </c>
      <c r="U5" s="26">
        <f t="shared" si="0"/>
        <v>18</v>
      </c>
      <c r="V5" s="26">
        <f t="shared" si="0"/>
        <v>19.8</v>
      </c>
      <c r="W5" s="26">
        <f t="shared" si="0"/>
        <v>21.6</v>
      </c>
      <c r="X5" s="26">
        <f t="shared" si="0"/>
        <v>23.4</v>
      </c>
      <c r="Y5" s="26">
        <f t="shared" si="0"/>
        <v>25.2</v>
      </c>
      <c r="Z5" s="26">
        <f t="shared" si="0"/>
        <v>27</v>
      </c>
      <c r="AA5" s="26">
        <f t="shared" si="0"/>
        <v>28.8</v>
      </c>
      <c r="AB5" s="26">
        <f t="shared" si="0"/>
        <v>30.6</v>
      </c>
      <c r="AC5" s="26">
        <f t="shared" si="0"/>
        <v>32.4</v>
      </c>
      <c r="AD5" s="26">
        <f t="shared" si="0"/>
        <v>34.200000000000003</v>
      </c>
      <c r="AE5" s="26">
        <f t="shared" si="0"/>
        <v>36</v>
      </c>
      <c r="AF5" s="34" t="s">
        <v>1</v>
      </c>
    </row>
    <row r="6" spans="1:32" ht="30" customHeight="1">
      <c r="A6" s="7">
        <v>65</v>
      </c>
      <c r="B6" s="26">
        <f t="shared" si="1"/>
        <v>2.73</v>
      </c>
      <c r="C6" s="26">
        <f t="shared" si="0"/>
        <v>3.12</v>
      </c>
      <c r="D6" s="26">
        <f t="shared" si="0"/>
        <v>3.51</v>
      </c>
      <c r="E6" s="26">
        <f t="shared" si="0"/>
        <v>3.9</v>
      </c>
      <c r="F6" s="26">
        <f t="shared" si="0"/>
        <v>4.29</v>
      </c>
      <c r="G6" s="26">
        <f t="shared" si="0"/>
        <v>4.68</v>
      </c>
      <c r="H6" s="26">
        <f t="shared" si="0"/>
        <v>5.07</v>
      </c>
      <c r="I6" s="26">
        <f t="shared" si="0"/>
        <v>5.46</v>
      </c>
      <c r="J6" s="26">
        <f t="shared" si="0"/>
        <v>5.85</v>
      </c>
      <c r="K6" s="26">
        <f t="shared" si="0"/>
        <v>6.24</v>
      </c>
      <c r="L6" s="26">
        <f t="shared" si="0"/>
        <v>6.63</v>
      </c>
      <c r="M6" s="26">
        <f t="shared" si="0"/>
        <v>7.02</v>
      </c>
      <c r="N6" s="26">
        <f t="shared" si="0"/>
        <v>7.41</v>
      </c>
      <c r="O6" s="26">
        <f t="shared" si="0"/>
        <v>7.8</v>
      </c>
      <c r="P6" s="26">
        <f t="shared" si="0"/>
        <v>9.75</v>
      </c>
      <c r="Q6" s="26">
        <f t="shared" si="0"/>
        <v>11.7</v>
      </c>
      <c r="R6" s="26">
        <f t="shared" si="0"/>
        <v>13.65</v>
      </c>
      <c r="S6" s="26">
        <f t="shared" si="0"/>
        <v>15.6</v>
      </c>
      <c r="T6" s="26">
        <f t="shared" si="0"/>
        <v>17.55</v>
      </c>
      <c r="U6" s="26">
        <f t="shared" si="0"/>
        <v>19.5</v>
      </c>
      <c r="V6" s="26">
        <f t="shared" si="0"/>
        <v>21.45</v>
      </c>
      <c r="W6" s="26">
        <f t="shared" si="0"/>
        <v>23.4</v>
      </c>
      <c r="X6" s="26">
        <f t="shared" si="0"/>
        <v>25.35</v>
      </c>
      <c r="Y6" s="26">
        <f t="shared" si="0"/>
        <v>27.3</v>
      </c>
      <c r="Z6" s="26">
        <f t="shared" si="0"/>
        <v>29.25</v>
      </c>
      <c r="AA6" s="26">
        <f t="shared" si="0"/>
        <v>31.2</v>
      </c>
      <c r="AB6" s="26">
        <f t="shared" si="0"/>
        <v>33.15</v>
      </c>
      <c r="AC6" s="26">
        <f t="shared" si="0"/>
        <v>35.1</v>
      </c>
      <c r="AD6" s="26">
        <f t="shared" si="0"/>
        <v>37.049999999999997</v>
      </c>
      <c r="AE6" s="26">
        <f t="shared" si="0"/>
        <v>39</v>
      </c>
      <c r="AF6" s="34" t="s">
        <v>1</v>
      </c>
    </row>
    <row r="7" spans="1:32" ht="30" customHeight="1">
      <c r="A7" s="7">
        <v>70</v>
      </c>
      <c r="B7" s="26">
        <f t="shared" si="1"/>
        <v>2.94</v>
      </c>
      <c r="C7" s="26">
        <f t="shared" si="0"/>
        <v>3.36</v>
      </c>
      <c r="D7" s="26">
        <f t="shared" si="0"/>
        <v>3.78</v>
      </c>
      <c r="E7" s="26">
        <f t="shared" si="0"/>
        <v>4.2</v>
      </c>
      <c r="F7" s="26">
        <f t="shared" si="0"/>
        <v>4.62</v>
      </c>
      <c r="G7" s="26">
        <f t="shared" si="0"/>
        <v>5.04</v>
      </c>
      <c r="H7" s="26">
        <f t="shared" si="0"/>
        <v>5.46</v>
      </c>
      <c r="I7" s="26">
        <f t="shared" si="0"/>
        <v>5.88</v>
      </c>
      <c r="J7" s="26">
        <f t="shared" si="0"/>
        <v>6.3</v>
      </c>
      <c r="K7" s="26">
        <f t="shared" si="0"/>
        <v>6.72</v>
      </c>
      <c r="L7" s="26">
        <f t="shared" si="0"/>
        <v>7.14</v>
      </c>
      <c r="M7" s="26">
        <f t="shared" si="0"/>
        <v>7.56</v>
      </c>
      <c r="N7" s="26">
        <f t="shared" si="0"/>
        <v>7.98</v>
      </c>
      <c r="O7" s="26">
        <f t="shared" si="0"/>
        <v>8.4</v>
      </c>
      <c r="P7" s="26">
        <f t="shared" si="0"/>
        <v>10.5</v>
      </c>
      <c r="Q7" s="26">
        <f t="shared" si="0"/>
        <v>12.6</v>
      </c>
      <c r="R7" s="26">
        <f t="shared" si="0"/>
        <v>14.7</v>
      </c>
      <c r="S7" s="26">
        <f t="shared" si="0"/>
        <v>16.8</v>
      </c>
      <c r="T7" s="26">
        <f t="shared" si="0"/>
        <v>18.899999999999999</v>
      </c>
      <c r="U7" s="26">
        <f t="shared" si="0"/>
        <v>21</v>
      </c>
      <c r="V7" s="26">
        <f t="shared" si="0"/>
        <v>23.1</v>
      </c>
      <c r="W7" s="26">
        <f t="shared" si="0"/>
        <v>25.2</v>
      </c>
      <c r="X7" s="26">
        <f t="shared" si="0"/>
        <v>27.3</v>
      </c>
      <c r="Y7" s="26">
        <f t="shared" si="0"/>
        <v>29.4</v>
      </c>
      <c r="Z7" s="26">
        <f t="shared" si="0"/>
        <v>31.5</v>
      </c>
      <c r="AA7" s="26">
        <f t="shared" si="0"/>
        <v>33.6</v>
      </c>
      <c r="AB7" s="26">
        <f t="shared" si="0"/>
        <v>35.700000000000003</v>
      </c>
      <c r="AC7" s="26">
        <f t="shared" si="0"/>
        <v>37.799999999999997</v>
      </c>
      <c r="AD7" s="26">
        <f t="shared" si="0"/>
        <v>39.9</v>
      </c>
      <c r="AE7" s="26">
        <f t="shared" si="0"/>
        <v>42</v>
      </c>
      <c r="AF7" s="34" t="s">
        <v>1</v>
      </c>
    </row>
    <row r="8" spans="1:32" ht="30" customHeight="1">
      <c r="A8" s="7">
        <v>75</v>
      </c>
      <c r="B8" s="26">
        <f t="shared" si="1"/>
        <v>3.15</v>
      </c>
      <c r="C8" s="26">
        <f t="shared" si="0"/>
        <v>3.6</v>
      </c>
      <c r="D8" s="26">
        <f t="shared" si="0"/>
        <v>4.05</v>
      </c>
      <c r="E8" s="26">
        <f t="shared" si="0"/>
        <v>4.5</v>
      </c>
      <c r="F8" s="26">
        <f t="shared" si="0"/>
        <v>4.95</v>
      </c>
      <c r="G8" s="26">
        <f t="shared" si="0"/>
        <v>5.4</v>
      </c>
      <c r="H8" s="26">
        <f t="shared" si="0"/>
        <v>5.85</v>
      </c>
      <c r="I8" s="26">
        <f t="shared" si="0"/>
        <v>6.3</v>
      </c>
      <c r="J8" s="26">
        <f t="shared" si="0"/>
        <v>6.75</v>
      </c>
      <c r="K8" s="26">
        <f t="shared" si="0"/>
        <v>7.2</v>
      </c>
      <c r="L8" s="26">
        <f t="shared" si="0"/>
        <v>7.65</v>
      </c>
      <c r="M8" s="26">
        <f t="shared" si="0"/>
        <v>8.1</v>
      </c>
      <c r="N8" s="26">
        <f t="shared" si="0"/>
        <v>8.5500000000000007</v>
      </c>
      <c r="O8" s="26">
        <f t="shared" si="0"/>
        <v>9</v>
      </c>
      <c r="P8" s="26">
        <f t="shared" si="0"/>
        <v>11.25</v>
      </c>
      <c r="Q8" s="26">
        <f t="shared" si="0"/>
        <v>13.5</v>
      </c>
      <c r="R8" s="26">
        <f t="shared" si="0"/>
        <v>15.75</v>
      </c>
      <c r="S8" s="26">
        <f t="shared" si="0"/>
        <v>18</v>
      </c>
      <c r="T8" s="26">
        <f t="shared" si="0"/>
        <v>20.25</v>
      </c>
      <c r="U8" s="26">
        <f t="shared" si="0"/>
        <v>22.5</v>
      </c>
      <c r="V8" s="26">
        <f t="shared" si="0"/>
        <v>24.75</v>
      </c>
      <c r="W8" s="26">
        <f t="shared" si="0"/>
        <v>27</v>
      </c>
      <c r="X8" s="26">
        <f t="shared" si="0"/>
        <v>29.25</v>
      </c>
      <c r="Y8" s="26">
        <f t="shared" si="0"/>
        <v>31.5</v>
      </c>
      <c r="Z8" s="26">
        <f t="shared" si="0"/>
        <v>33.75</v>
      </c>
      <c r="AA8" s="26">
        <f t="shared" si="0"/>
        <v>36</v>
      </c>
      <c r="AB8" s="26">
        <f t="shared" si="0"/>
        <v>38.25</v>
      </c>
      <c r="AC8" s="26">
        <f t="shared" si="0"/>
        <v>40.5</v>
      </c>
      <c r="AD8" s="26">
        <f t="shared" si="0"/>
        <v>42.75</v>
      </c>
      <c r="AE8" s="26">
        <f t="shared" si="0"/>
        <v>45</v>
      </c>
      <c r="AF8" s="34" t="s">
        <v>1</v>
      </c>
    </row>
    <row r="9" spans="1:32" ht="30" customHeight="1">
      <c r="A9" s="7">
        <v>80</v>
      </c>
      <c r="B9" s="26">
        <f t="shared" si="1"/>
        <v>3.36</v>
      </c>
      <c r="C9" s="26">
        <f t="shared" si="0"/>
        <v>3.84</v>
      </c>
      <c r="D9" s="26">
        <f t="shared" si="0"/>
        <v>4.32</v>
      </c>
      <c r="E9" s="26">
        <f t="shared" si="0"/>
        <v>4.8</v>
      </c>
      <c r="F9" s="26">
        <f t="shared" si="0"/>
        <v>5.28</v>
      </c>
      <c r="G9" s="26">
        <f t="shared" si="0"/>
        <v>5.76</v>
      </c>
      <c r="H9" s="26">
        <f t="shared" si="0"/>
        <v>6.24</v>
      </c>
      <c r="I9" s="26">
        <f t="shared" si="0"/>
        <v>6.72</v>
      </c>
      <c r="J9" s="26">
        <f t="shared" si="0"/>
        <v>7.2</v>
      </c>
      <c r="K9" s="26">
        <f t="shared" si="0"/>
        <v>7.68</v>
      </c>
      <c r="L9" s="26">
        <f t="shared" si="0"/>
        <v>8.16</v>
      </c>
      <c r="M9" s="26">
        <f t="shared" si="0"/>
        <v>8.64</v>
      </c>
      <c r="N9" s="26">
        <f t="shared" si="0"/>
        <v>9.1199999999999992</v>
      </c>
      <c r="O9" s="26">
        <f t="shared" si="0"/>
        <v>9.6</v>
      </c>
      <c r="P9" s="26">
        <f t="shared" si="0"/>
        <v>12</v>
      </c>
      <c r="Q9" s="26">
        <f t="shared" si="0"/>
        <v>14.4</v>
      </c>
      <c r="R9" s="26">
        <f t="shared" si="0"/>
        <v>16.8</v>
      </c>
      <c r="S9" s="26">
        <f t="shared" si="0"/>
        <v>19.2</v>
      </c>
      <c r="T9" s="26">
        <f t="shared" si="0"/>
        <v>21.6</v>
      </c>
      <c r="U9" s="26">
        <f t="shared" si="0"/>
        <v>24</v>
      </c>
      <c r="V9" s="26">
        <f t="shared" si="0"/>
        <v>26.4</v>
      </c>
      <c r="W9" s="26">
        <f t="shared" si="0"/>
        <v>28.8</v>
      </c>
      <c r="X9" s="26">
        <f t="shared" si="0"/>
        <v>31.2</v>
      </c>
      <c r="Y9" s="26">
        <f t="shared" si="0"/>
        <v>33.6</v>
      </c>
      <c r="Z9" s="26">
        <f t="shared" si="0"/>
        <v>36</v>
      </c>
      <c r="AA9" s="26">
        <f t="shared" si="0"/>
        <v>38.4</v>
      </c>
      <c r="AB9" s="26">
        <f t="shared" si="0"/>
        <v>40.799999999999997</v>
      </c>
      <c r="AC9" s="26">
        <f t="shared" si="0"/>
        <v>43.2</v>
      </c>
      <c r="AD9" s="26">
        <f t="shared" si="0"/>
        <v>45.6</v>
      </c>
      <c r="AE9" s="26">
        <f t="shared" si="0"/>
        <v>48</v>
      </c>
      <c r="AF9" s="34" t="s">
        <v>1</v>
      </c>
    </row>
    <row r="10" spans="1:32" ht="30" customHeight="1">
      <c r="A10" s="7">
        <v>85</v>
      </c>
      <c r="B10" s="26">
        <f t="shared" si="1"/>
        <v>3.57</v>
      </c>
      <c r="C10" s="26">
        <f t="shared" si="0"/>
        <v>4.08</v>
      </c>
      <c r="D10" s="26">
        <f t="shared" si="0"/>
        <v>4.59</v>
      </c>
      <c r="E10" s="26">
        <f t="shared" si="0"/>
        <v>5.0999999999999996</v>
      </c>
      <c r="F10" s="26">
        <f t="shared" si="0"/>
        <v>5.61</v>
      </c>
      <c r="G10" s="26">
        <f t="shared" si="0"/>
        <v>6.12</v>
      </c>
      <c r="H10" s="26">
        <f t="shared" si="0"/>
        <v>6.63</v>
      </c>
      <c r="I10" s="26">
        <f t="shared" si="0"/>
        <v>7.14</v>
      </c>
      <c r="J10" s="26">
        <f t="shared" si="0"/>
        <v>7.65</v>
      </c>
      <c r="K10" s="26">
        <f t="shared" si="0"/>
        <v>8.16</v>
      </c>
      <c r="L10" s="26">
        <f t="shared" si="0"/>
        <v>8.67</v>
      </c>
      <c r="M10" s="26">
        <f t="shared" si="0"/>
        <v>9.18</v>
      </c>
      <c r="N10" s="26">
        <f t="shared" si="0"/>
        <v>9.69</v>
      </c>
      <c r="O10" s="26">
        <f t="shared" si="0"/>
        <v>10.199999999999999</v>
      </c>
      <c r="P10" s="26">
        <f t="shared" si="0"/>
        <v>12.75</v>
      </c>
      <c r="Q10" s="26">
        <f t="shared" si="0"/>
        <v>15.3</v>
      </c>
      <c r="R10" s="26">
        <f t="shared" si="0"/>
        <v>17.850000000000001</v>
      </c>
      <c r="S10" s="26">
        <f t="shared" si="0"/>
        <v>20.399999999999999</v>
      </c>
      <c r="T10" s="26">
        <f t="shared" si="0"/>
        <v>22.95</v>
      </c>
      <c r="U10" s="26">
        <f t="shared" si="0"/>
        <v>25.5</v>
      </c>
      <c r="V10" s="26">
        <f t="shared" si="0"/>
        <v>28.05</v>
      </c>
      <c r="W10" s="26">
        <f t="shared" si="0"/>
        <v>30.6</v>
      </c>
      <c r="X10" s="26">
        <f t="shared" si="0"/>
        <v>33.15</v>
      </c>
      <c r="Y10" s="26">
        <f t="shared" si="0"/>
        <v>35.700000000000003</v>
      </c>
      <c r="Z10" s="26">
        <f t="shared" si="0"/>
        <v>38.25</v>
      </c>
      <c r="AA10" s="26">
        <f t="shared" si="0"/>
        <v>40.799999999999997</v>
      </c>
      <c r="AB10" s="26">
        <f t="shared" si="0"/>
        <v>43.35</v>
      </c>
      <c r="AC10" s="26">
        <f t="shared" si="0"/>
        <v>45.9</v>
      </c>
      <c r="AD10" s="26">
        <f t="shared" si="0"/>
        <v>48.45</v>
      </c>
      <c r="AE10" s="26">
        <f t="shared" si="0"/>
        <v>51</v>
      </c>
      <c r="AF10" s="34" t="s">
        <v>1</v>
      </c>
    </row>
    <row r="11" spans="1:32" ht="30" customHeight="1">
      <c r="A11" s="7">
        <v>90</v>
      </c>
      <c r="B11" s="26">
        <f t="shared" si="1"/>
        <v>3.7799999999999994</v>
      </c>
      <c r="C11" s="26">
        <f t="shared" si="0"/>
        <v>4.32</v>
      </c>
      <c r="D11" s="26">
        <f t="shared" si="0"/>
        <v>4.8600000000000003</v>
      </c>
      <c r="E11" s="26">
        <f t="shared" si="0"/>
        <v>5.4</v>
      </c>
      <c r="F11" s="26">
        <f t="shared" si="0"/>
        <v>5.9400000000000013</v>
      </c>
      <c r="G11" s="26">
        <f t="shared" si="0"/>
        <v>6.48</v>
      </c>
      <c r="H11" s="26">
        <f t="shared" si="0"/>
        <v>7.02</v>
      </c>
      <c r="I11" s="26">
        <f t="shared" si="0"/>
        <v>7.5599999999999987</v>
      </c>
      <c r="J11" s="26">
        <f t="shared" si="0"/>
        <v>8.1</v>
      </c>
      <c r="K11" s="26">
        <f t="shared" si="0"/>
        <v>8.64</v>
      </c>
      <c r="L11" s="26">
        <f t="shared" si="0"/>
        <v>9.18</v>
      </c>
      <c r="M11" s="26">
        <f t="shared" si="0"/>
        <v>9.7200000000000006</v>
      </c>
      <c r="N11" s="26">
        <f t="shared" si="0"/>
        <v>10.26</v>
      </c>
      <c r="O11" s="26">
        <f t="shared" si="0"/>
        <v>10.8</v>
      </c>
      <c r="P11" s="26">
        <f t="shared" si="0"/>
        <v>13.5</v>
      </c>
      <c r="Q11" s="26">
        <f t="shared" si="0"/>
        <v>16.2</v>
      </c>
      <c r="R11" s="26">
        <f t="shared" si="0"/>
        <v>18.899999999999999</v>
      </c>
      <c r="S11" s="26">
        <f t="shared" si="0"/>
        <v>21.6</v>
      </c>
      <c r="T11" s="26">
        <f t="shared" si="0"/>
        <v>24.3</v>
      </c>
      <c r="U11" s="26">
        <f t="shared" si="0"/>
        <v>27</v>
      </c>
      <c r="V11" s="26">
        <f t="shared" si="0"/>
        <v>29.7</v>
      </c>
      <c r="W11" s="26">
        <f t="shared" si="0"/>
        <v>32.4</v>
      </c>
      <c r="X11" s="26">
        <f t="shared" si="0"/>
        <v>35.1</v>
      </c>
      <c r="Y11" s="26">
        <f t="shared" si="0"/>
        <v>37.799999999999997</v>
      </c>
      <c r="Z11" s="26">
        <f t="shared" si="0"/>
        <v>40.5</v>
      </c>
      <c r="AA11" s="26">
        <f t="shared" si="0"/>
        <v>43.2</v>
      </c>
      <c r="AB11" s="26">
        <f t="shared" si="0"/>
        <v>45.9</v>
      </c>
      <c r="AC11" s="26">
        <f t="shared" si="0"/>
        <v>48.6</v>
      </c>
      <c r="AD11" s="26">
        <f t="shared" si="0"/>
        <v>51.3</v>
      </c>
      <c r="AE11" s="26">
        <f t="shared" si="0"/>
        <v>54</v>
      </c>
      <c r="AF11" s="34" t="s">
        <v>1</v>
      </c>
    </row>
    <row r="12" spans="1:32" ht="30" customHeight="1">
      <c r="A12" s="7">
        <v>95</v>
      </c>
      <c r="B12" s="26">
        <f t="shared" si="1"/>
        <v>3.9899999999999993</v>
      </c>
      <c r="C12" s="26">
        <f t="shared" si="0"/>
        <v>4.5599999999999996</v>
      </c>
      <c r="D12" s="26">
        <f t="shared" si="0"/>
        <v>5.13</v>
      </c>
      <c r="E12" s="26">
        <f t="shared" si="0"/>
        <v>5.7</v>
      </c>
      <c r="F12" s="26">
        <f t="shared" si="0"/>
        <v>6.2700000000000014</v>
      </c>
      <c r="G12" s="26">
        <f t="shared" si="0"/>
        <v>6.84</v>
      </c>
      <c r="H12" s="26">
        <f t="shared" si="0"/>
        <v>7.41</v>
      </c>
      <c r="I12" s="26">
        <f t="shared" si="0"/>
        <v>7.9799999999999986</v>
      </c>
      <c r="J12" s="26">
        <f t="shared" si="0"/>
        <v>8.5500000000000007</v>
      </c>
      <c r="K12" s="26">
        <f t="shared" si="0"/>
        <v>9.1199999999999992</v>
      </c>
      <c r="L12" s="26">
        <f t="shared" ref="C12:AE17" si="2">L$2*($A12*60)/1000</f>
        <v>9.69</v>
      </c>
      <c r="M12" s="26">
        <f t="shared" si="2"/>
        <v>10.26</v>
      </c>
      <c r="N12" s="26">
        <f t="shared" si="2"/>
        <v>10.83</v>
      </c>
      <c r="O12" s="26">
        <f t="shared" si="2"/>
        <v>11.4</v>
      </c>
      <c r="P12" s="26">
        <f t="shared" si="2"/>
        <v>14.25</v>
      </c>
      <c r="Q12" s="26">
        <f t="shared" si="2"/>
        <v>17.100000000000001</v>
      </c>
      <c r="R12" s="26">
        <f t="shared" si="2"/>
        <v>19.95</v>
      </c>
      <c r="S12" s="26">
        <f t="shared" si="2"/>
        <v>22.8</v>
      </c>
      <c r="T12" s="26">
        <f t="shared" si="2"/>
        <v>25.65</v>
      </c>
      <c r="U12" s="26">
        <f t="shared" si="2"/>
        <v>28.5</v>
      </c>
      <c r="V12" s="26">
        <f t="shared" si="2"/>
        <v>31.35</v>
      </c>
      <c r="W12" s="26">
        <f t="shared" si="2"/>
        <v>34.200000000000003</v>
      </c>
      <c r="X12" s="26">
        <f t="shared" si="2"/>
        <v>37.049999999999997</v>
      </c>
      <c r="Y12" s="26">
        <f t="shared" si="2"/>
        <v>39.9</v>
      </c>
      <c r="Z12" s="26">
        <f t="shared" si="2"/>
        <v>42.75</v>
      </c>
      <c r="AA12" s="26">
        <f t="shared" si="2"/>
        <v>45.6</v>
      </c>
      <c r="AB12" s="26">
        <f t="shared" si="2"/>
        <v>48.45</v>
      </c>
      <c r="AC12" s="26">
        <f t="shared" si="2"/>
        <v>51.3</v>
      </c>
      <c r="AD12" s="26">
        <f t="shared" si="2"/>
        <v>54.15</v>
      </c>
      <c r="AE12" s="26">
        <f t="shared" si="2"/>
        <v>57</v>
      </c>
      <c r="AF12" s="34" t="s">
        <v>1</v>
      </c>
    </row>
    <row r="13" spans="1:32" ht="30" customHeight="1">
      <c r="A13" s="7">
        <v>100</v>
      </c>
      <c r="B13" s="26">
        <f t="shared" si="1"/>
        <v>4.2</v>
      </c>
      <c r="C13" s="26">
        <f t="shared" si="2"/>
        <v>4.8</v>
      </c>
      <c r="D13" s="26">
        <f t="shared" si="2"/>
        <v>5.4</v>
      </c>
      <c r="E13" s="26">
        <f t="shared" si="2"/>
        <v>6</v>
      </c>
      <c r="F13" s="26">
        <f t="shared" si="2"/>
        <v>6.6000000000000005</v>
      </c>
      <c r="G13" s="26">
        <f t="shared" si="2"/>
        <v>7.2</v>
      </c>
      <c r="H13" s="26">
        <f t="shared" si="2"/>
        <v>7.8</v>
      </c>
      <c r="I13" s="26">
        <f t="shared" si="2"/>
        <v>8.4</v>
      </c>
      <c r="J13" s="26">
        <f t="shared" si="2"/>
        <v>9</v>
      </c>
      <c r="K13" s="26">
        <f t="shared" si="2"/>
        <v>9.6</v>
      </c>
      <c r="L13" s="26">
        <f t="shared" si="2"/>
        <v>10.199999999999999</v>
      </c>
      <c r="M13" s="26">
        <f t="shared" si="2"/>
        <v>10.8</v>
      </c>
      <c r="N13" s="26">
        <f t="shared" si="2"/>
        <v>11.4</v>
      </c>
      <c r="O13" s="26">
        <f t="shared" si="2"/>
        <v>12</v>
      </c>
      <c r="P13" s="26">
        <f t="shared" si="2"/>
        <v>15</v>
      </c>
      <c r="Q13" s="26">
        <f t="shared" si="2"/>
        <v>18</v>
      </c>
      <c r="R13" s="26">
        <f t="shared" si="2"/>
        <v>21</v>
      </c>
      <c r="S13" s="26">
        <f t="shared" si="2"/>
        <v>24</v>
      </c>
      <c r="T13" s="26">
        <f t="shared" si="2"/>
        <v>27</v>
      </c>
      <c r="U13" s="26">
        <f t="shared" si="2"/>
        <v>30</v>
      </c>
      <c r="V13" s="26">
        <f t="shared" si="2"/>
        <v>33</v>
      </c>
      <c r="W13" s="26">
        <f t="shared" si="2"/>
        <v>36</v>
      </c>
      <c r="X13" s="26">
        <f t="shared" si="2"/>
        <v>39</v>
      </c>
      <c r="Y13" s="26">
        <f t="shared" si="2"/>
        <v>42</v>
      </c>
      <c r="Z13" s="26">
        <f t="shared" si="2"/>
        <v>45</v>
      </c>
      <c r="AA13" s="26">
        <f t="shared" si="2"/>
        <v>48</v>
      </c>
      <c r="AB13" s="26">
        <f t="shared" si="2"/>
        <v>51</v>
      </c>
      <c r="AC13" s="26">
        <f t="shared" si="2"/>
        <v>54</v>
      </c>
      <c r="AD13" s="26">
        <f t="shared" si="2"/>
        <v>57</v>
      </c>
      <c r="AE13" s="26">
        <f t="shared" si="2"/>
        <v>60</v>
      </c>
      <c r="AF13" s="34" t="s">
        <v>1</v>
      </c>
    </row>
    <row r="14" spans="1:32" ht="30" customHeight="1">
      <c r="A14" s="7">
        <v>105</v>
      </c>
      <c r="B14" s="26">
        <f t="shared" si="1"/>
        <v>4.41</v>
      </c>
      <c r="C14" s="26">
        <f t="shared" si="2"/>
        <v>5.04</v>
      </c>
      <c r="D14" s="26">
        <f t="shared" si="2"/>
        <v>5.67</v>
      </c>
      <c r="E14" s="26">
        <f t="shared" si="2"/>
        <v>6.3</v>
      </c>
      <c r="F14" s="26">
        <f t="shared" si="2"/>
        <v>6.9300000000000006</v>
      </c>
      <c r="G14" s="26">
        <f t="shared" si="2"/>
        <v>7.56</v>
      </c>
      <c r="H14" s="26">
        <f t="shared" si="2"/>
        <v>8.19</v>
      </c>
      <c r="I14" s="26">
        <f t="shared" si="2"/>
        <v>8.82</v>
      </c>
      <c r="J14" s="26">
        <f t="shared" si="2"/>
        <v>9.4499999999999993</v>
      </c>
      <c r="K14" s="26">
        <f t="shared" si="2"/>
        <v>10.08</v>
      </c>
      <c r="L14" s="26">
        <f t="shared" si="2"/>
        <v>10.71</v>
      </c>
      <c r="M14" s="26">
        <f t="shared" si="2"/>
        <v>11.34</v>
      </c>
      <c r="N14" s="26">
        <f t="shared" si="2"/>
        <v>11.97</v>
      </c>
      <c r="O14" s="26">
        <f t="shared" si="2"/>
        <v>12.6</v>
      </c>
      <c r="P14" s="26">
        <f t="shared" si="2"/>
        <v>15.75</v>
      </c>
      <c r="Q14" s="26">
        <f t="shared" si="2"/>
        <v>18.899999999999999</v>
      </c>
      <c r="R14" s="26">
        <f t="shared" si="2"/>
        <v>22.05</v>
      </c>
      <c r="S14" s="26">
        <f t="shared" si="2"/>
        <v>25.2</v>
      </c>
      <c r="T14" s="26">
        <f t="shared" si="2"/>
        <v>28.35</v>
      </c>
      <c r="U14" s="26">
        <f t="shared" si="2"/>
        <v>31.5</v>
      </c>
      <c r="V14" s="26">
        <f t="shared" si="2"/>
        <v>34.65</v>
      </c>
      <c r="W14" s="26">
        <f t="shared" si="2"/>
        <v>37.799999999999997</v>
      </c>
      <c r="X14" s="26">
        <f t="shared" si="2"/>
        <v>40.950000000000003</v>
      </c>
      <c r="Y14" s="26">
        <f t="shared" si="2"/>
        <v>44.1</v>
      </c>
      <c r="Z14" s="26">
        <f t="shared" si="2"/>
        <v>47.25</v>
      </c>
      <c r="AA14" s="26">
        <f t="shared" si="2"/>
        <v>50.4</v>
      </c>
      <c r="AB14" s="26">
        <f t="shared" si="2"/>
        <v>53.55</v>
      </c>
      <c r="AC14" s="26">
        <f t="shared" si="2"/>
        <v>56.7</v>
      </c>
      <c r="AD14" s="26">
        <f t="shared" si="2"/>
        <v>59.85</v>
      </c>
      <c r="AE14" s="26">
        <f t="shared" si="2"/>
        <v>63</v>
      </c>
      <c r="AF14" s="34" t="s">
        <v>1</v>
      </c>
    </row>
    <row r="15" spans="1:32" ht="30" customHeight="1">
      <c r="A15" s="7">
        <v>110</v>
      </c>
      <c r="B15" s="26">
        <f t="shared" si="1"/>
        <v>4.62</v>
      </c>
      <c r="C15" s="26">
        <f t="shared" si="2"/>
        <v>5.28</v>
      </c>
      <c r="D15" s="26">
        <f t="shared" si="2"/>
        <v>5.94</v>
      </c>
      <c r="E15" s="26">
        <f t="shared" si="2"/>
        <v>6.6</v>
      </c>
      <c r="F15" s="26">
        <f t="shared" si="2"/>
        <v>7.2600000000000007</v>
      </c>
      <c r="G15" s="26">
        <f t="shared" si="2"/>
        <v>7.92</v>
      </c>
      <c r="H15" s="26">
        <f t="shared" si="2"/>
        <v>8.58</v>
      </c>
      <c r="I15" s="26">
        <f t="shared" si="2"/>
        <v>9.24</v>
      </c>
      <c r="J15" s="26">
        <f t="shared" si="2"/>
        <v>9.9</v>
      </c>
      <c r="K15" s="26">
        <f t="shared" si="2"/>
        <v>10.56</v>
      </c>
      <c r="L15" s="26">
        <f t="shared" si="2"/>
        <v>11.22</v>
      </c>
      <c r="M15" s="26">
        <f t="shared" si="2"/>
        <v>11.88</v>
      </c>
      <c r="N15" s="26">
        <f t="shared" si="2"/>
        <v>12.54</v>
      </c>
      <c r="O15" s="26">
        <f t="shared" si="2"/>
        <v>13.2</v>
      </c>
      <c r="P15" s="26">
        <f t="shared" si="2"/>
        <v>16.5</v>
      </c>
      <c r="Q15" s="26">
        <f t="shared" si="2"/>
        <v>19.8</v>
      </c>
      <c r="R15" s="26">
        <f t="shared" si="2"/>
        <v>23.1</v>
      </c>
      <c r="S15" s="26">
        <f t="shared" si="2"/>
        <v>26.4</v>
      </c>
      <c r="T15" s="26">
        <f t="shared" si="2"/>
        <v>29.7</v>
      </c>
      <c r="U15" s="26">
        <f t="shared" si="2"/>
        <v>33</v>
      </c>
      <c r="V15" s="26">
        <f t="shared" si="2"/>
        <v>36.299999999999997</v>
      </c>
      <c r="W15" s="26">
        <f t="shared" si="2"/>
        <v>39.6</v>
      </c>
      <c r="X15" s="26">
        <f t="shared" si="2"/>
        <v>42.9</v>
      </c>
      <c r="Y15" s="26">
        <f t="shared" si="2"/>
        <v>46.2</v>
      </c>
      <c r="Z15" s="26">
        <f t="shared" si="2"/>
        <v>49.5</v>
      </c>
      <c r="AA15" s="26">
        <f t="shared" si="2"/>
        <v>52.8</v>
      </c>
      <c r="AB15" s="26">
        <f t="shared" si="2"/>
        <v>56.1</v>
      </c>
      <c r="AC15" s="26">
        <f t="shared" si="2"/>
        <v>59.4</v>
      </c>
      <c r="AD15" s="26">
        <f t="shared" si="2"/>
        <v>62.7</v>
      </c>
      <c r="AE15" s="26">
        <f t="shared" si="2"/>
        <v>66</v>
      </c>
      <c r="AF15" s="34" t="s">
        <v>1</v>
      </c>
    </row>
    <row r="16" spans="1:32" ht="30" customHeight="1">
      <c r="A16" s="7">
        <v>115</v>
      </c>
      <c r="B16" s="26">
        <f t="shared" si="1"/>
        <v>4.83</v>
      </c>
      <c r="C16" s="26">
        <f t="shared" si="2"/>
        <v>5.52</v>
      </c>
      <c r="D16" s="26">
        <f t="shared" si="2"/>
        <v>6.21</v>
      </c>
      <c r="E16" s="26">
        <f t="shared" si="2"/>
        <v>6.9</v>
      </c>
      <c r="F16" s="26">
        <f t="shared" si="2"/>
        <v>7.5900000000000007</v>
      </c>
      <c r="G16" s="26">
        <f t="shared" si="2"/>
        <v>8.2799999999999994</v>
      </c>
      <c r="H16" s="26">
        <f t="shared" si="2"/>
        <v>8.9700000000000006</v>
      </c>
      <c r="I16" s="26">
        <f t="shared" si="2"/>
        <v>9.66</v>
      </c>
      <c r="J16" s="26">
        <f t="shared" si="2"/>
        <v>10.35</v>
      </c>
      <c r="K16" s="26">
        <f t="shared" si="2"/>
        <v>11.04</v>
      </c>
      <c r="L16" s="26">
        <f t="shared" si="2"/>
        <v>11.73</v>
      </c>
      <c r="M16" s="26">
        <f t="shared" si="2"/>
        <v>12.42</v>
      </c>
      <c r="N16" s="26">
        <f t="shared" si="2"/>
        <v>13.11</v>
      </c>
      <c r="O16" s="26">
        <f t="shared" si="2"/>
        <v>13.8</v>
      </c>
      <c r="P16" s="26">
        <f t="shared" si="2"/>
        <v>17.25</v>
      </c>
      <c r="Q16" s="26">
        <f t="shared" si="2"/>
        <v>20.7</v>
      </c>
      <c r="R16" s="26">
        <f t="shared" si="2"/>
        <v>24.15</v>
      </c>
      <c r="S16" s="26">
        <f t="shared" si="2"/>
        <v>27.6</v>
      </c>
      <c r="T16" s="26">
        <f t="shared" si="2"/>
        <v>31.05</v>
      </c>
      <c r="U16" s="26">
        <f t="shared" si="2"/>
        <v>34.5</v>
      </c>
      <c r="V16" s="26">
        <f t="shared" si="2"/>
        <v>37.950000000000003</v>
      </c>
      <c r="W16" s="26">
        <f t="shared" si="2"/>
        <v>41.4</v>
      </c>
      <c r="X16" s="26">
        <f t="shared" si="2"/>
        <v>44.85</v>
      </c>
      <c r="Y16" s="26">
        <f t="shared" si="2"/>
        <v>48.3</v>
      </c>
      <c r="Z16" s="26">
        <f t="shared" si="2"/>
        <v>51.75</v>
      </c>
      <c r="AA16" s="26">
        <f t="shared" si="2"/>
        <v>55.2</v>
      </c>
      <c r="AB16" s="26">
        <f t="shared" si="2"/>
        <v>58.65</v>
      </c>
      <c r="AC16" s="26">
        <f t="shared" si="2"/>
        <v>62.1</v>
      </c>
      <c r="AD16" s="26">
        <f t="shared" si="2"/>
        <v>65.55</v>
      </c>
      <c r="AE16" s="26">
        <f t="shared" si="2"/>
        <v>69</v>
      </c>
      <c r="AF16" s="34" t="s">
        <v>1</v>
      </c>
    </row>
    <row r="17" spans="1:32" ht="30" customHeight="1" thickBot="1">
      <c r="A17" s="42">
        <v>120</v>
      </c>
      <c r="B17" s="43">
        <f t="shared" si="1"/>
        <v>5.04</v>
      </c>
      <c r="C17" s="43">
        <f t="shared" si="2"/>
        <v>5.76</v>
      </c>
      <c r="D17" s="43">
        <f t="shared" si="2"/>
        <v>6.48</v>
      </c>
      <c r="E17" s="43">
        <f t="shared" si="2"/>
        <v>7.2</v>
      </c>
      <c r="F17" s="43">
        <f t="shared" si="2"/>
        <v>7.9200000000000008</v>
      </c>
      <c r="G17" s="43">
        <f t="shared" si="2"/>
        <v>8.64</v>
      </c>
      <c r="H17" s="43">
        <f t="shared" si="2"/>
        <v>9.36</v>
      </c>
      <c r="I17" s="43">
        <f t="shared" si="2"/>
        <v>10.08</v>
      </c>
      <c r="J17" s="43">
        <f t="shared" si="2"/>
        <v>10.8</v>
      </c>
      <c r="K17" s="43">
        <f t="shared" si="2"/>
        <v>11.52</v>
      </c>
      <c r="L17" s="43">
        <f t="shared" si="2"/>
        <v>12.24</v>
      </c>
      <c r="M17" s="43">
        <f t="shared" si="2"/>
        <v>12.96</v>
      </c>
      <c r="N17" s="43">
        <f t="shared" si="2"/>
        <v>13.68</v>
      </c>
      <c r="O17" s="43">
        <f t="shared" si="2"/>
        <v>14.4</v>
      </c>
      <c r="P17" s="43">
        <f t="shared" si="2"/>
        <v>18</v>
      </c>
      <c r="Q17" s="43">
        <f t="shared" si="2"/>
        <v>21.6</v>
      </c>
      <c r="R17" s="43">
        <f t="shared" si="2"/>
        <v>25.2</v>
      </c>
      <c r="S17" s="43">
        <f t="shared" si="2"/>
        <v>28.8</v>
      </c>
      <c r="T17" s="43">
        <f t="shared" si="2"/>
        <v>32.4</v>
      </c>
      <c r="U17" s="43">
        <f t="shared" si="2"/>
        <v>36</v>
      </c>
      <c r="V17" s="43">
        <f t="shared" si="2"/>
        <v>39.6</v>
      </c>
      <c r="W17" s="43">
        <f t="shared" si="2"/>
        <v>43.2</v>
      </c>
      <c r="X17" s="43">
        <f t="shared" si="2"/>
        <v>46.8</v>
      </c>
      <c r="Y17" s="43">
        <f t="shared" si="2"/>
        <v>50.4</v>
      </c>
      <c r="Z17" s="43">
        <f t="shared" si="2"/>
        <v>54</v>
      </c>
      <c r="AA17" s="43">
        <f t="shared" si="2"/>
        <v>57.6</v>
      </c>
      <c r="AB17" s="43">
        <f t="shared" si="2"/>
        <v>61.2</v>
      </c>
      <c r="AC17" s="43">
        <f t="shared" si="2"/>
        <v>64.8</v>
      </c>
      <c r="AD17" s="43">
        <f t="shared" si="2"/>
        <v>68.400000000000006</v>
      </c>
      <c r="AE17" s="43">
        <f t="shared" si="2"/>
        <v>72</v>
      </c>
      <c r="AF17" s="44" t="s">
        <v>1</v>
      </c>
    </row>
    <row r="18" spans="1:32" ht="30" customHeight="1">
      <c r="A18" s="24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40"/>
    </row>
    <row r="19" spans="1:32" ht="30" customHeight="1">
      <c r="A19" s="21"/>
      <c r="B19" s="12"/>
      <c r="C19" s="12"/>
      <c r="D19" s="12"/>
      <c r="E19" s="12"/>
      <c r="F19" s="12"/>
      <c r="G19" s="12"/>
      <c r="H19" s="12"/>
      <c r="I19" s="12"/>
      <c r="J19" s="97" t="s">
        <v>7</v>
      </c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41"/>
    </row>
    <row r="20" spans="1:32" ht="30" customHeight="1">
      <c r="A20" s="98" t="s">
        <v>6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100"/>
    </row>
    <row r="21" spans="1:32" ht="30" customHeight="1" thickBot="1">
      <c r="A21" s="101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3"/>
    </row>
    <row r="22" spans="1:32" ht="30" customHeight="1" thickBot="1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35"/>
    </row>
  </sheetData>
  <mergeCells count="3">
    <mergeCell ref="J19:U19"/>
    <mergeCell ref="A20:AF21"/>
    <mergeCell ref="B1:AE1"/>
  </mergeCells>
  <conditionalFormatting sqref="B3:AE17">
    <cfRule type="colorScale" priority="1">
      <colorScale>
        <cfvo type="min" val="0"/>
        <cfvo type="percentile" val="50"/>
        <cfvo type="max" val="0"/>
        <color theme="3" tint="0.79998168889431442"/>
        <color rgb="FFFFEB84"/>
        <color theme="5"/>
      </colorScale>
    </cfRule>
    <cfRule type="colorScale" priority="2">
      <colorScale>
        <cfvo type="min" val="0"/>
        <cfvo type="percentile" val="50"/>
        <cfvo type="max" val="0"/>
        <color theme="3" tint="0.39997558519241921"/>
        <color theme="9" tint="-0.249977111117893"/>
        <color rgb="FFFF0000"/>
      </colorScale>
    </cfRule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56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M93"/>
  <sheetViews>
    <sheetView view="pageBreakPreview" zoomScaleSheetLayoutView="100" workbookViewId="0">
      <selection activeCell="F82" sqref="F82"/>
    </sheetView>
  </sheetViews>
  <sheetFormatPr defaultRowHeight="15"/>
  <sheetData>
    <row r="1" spans="1:13" ht="29.25" thickBot="1">
      <c r="B1" s="108" t="s">
        <v>11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</row>
    <row r="2" spans="1:13" ht="15.75" thickBot="1">
      <c r="A2" s="45" t="s">
        <v>12</v>
      </c>
      <c r="B2" s="46" t="s">
        <v>13</v>
      </c>
      <c r="C2" s="46"/>
      <c r="D2" s="46"/>
      <c r="E2" s="46"/>
      <c r="F2" s="46" t="s">
        <v>14</v>
      </c>
      <c r="G2" s="46"/>
      <c r="H2" s="46" t="s">
        <v>15</v>
      </c>
      <c r="I2" s="47"/>
      <c r="J2" t="s">
        <v>16</v>
      </c>
      <c r="K2" s="48" t="s">
        <v>17</v>
      </c>
    </row>
    <row r="3" spans="1:13" ht="15.75" thickBot="1">
      <c r="A3" s="45" t="s">
        <v>18</v>
      </c>
      <c r="B3" s="46" t="s">
        <v>19</v>
      </c>
      <c r="C3" s="46"/>
      <c r="D3" s="46"/>
      <c r="E3" s="46"/>
      <c r="F3" s="46" t="s">
        <v>20</v>
      </c>
      <c r="G3" s="46"/>
      <c r="H3" s="46" t="s">
        <v>21</v>
      </c>
      <c r="I3" s="47"/>
      <c r="J3" s="109"/>
      <c r="K3" s="109"/>
      <c r="L3" s="109"/>
      <c r="M3" s="109"/>
    </row>
    <row r="4" spans="1:13" ht="15.75" thickBot="1">
      <c r="A4" s="45" t="s">
        <v>22</v>
      </c>
      <c r="B4" s="46" t="s">
        <v>23</v>
      </c>
      <c r="C4" s="46"/>
      <c r="D4" s="46"/>
      <c r="E4" s="46"/>
      <c r="F4" s="46" t="s">
        <v>24</v>
      </c>
      <c r="G4" s="46"/>
      <c r="H4" s="46" t="s">
        <v>25</v>
      </c>
      <c r="I4" s="47"/>
      <c r="J4" s="109"/>
      <c r="K4" s="109"/>
      <c r="L4" s="109"/>
      <c r="M4" s="109"/>
    </row>
    <row r="5" spans="1:13" ht="15.75" thickBot="1">
      <c r="A5" s="45" t="s">
        <v>26</v>
      </c>
      <c r="B5" s="46" t="s">
        <v>27</v>
      </c>
      <c r="C5" s="46"/>
      <c r="D5" s="46"/>
      <c r="E5" s="46"/>
      <c r="F5" s="46" t="s">
        <v>28</v>
      </c>
      <c r="G5" s="46"/>
      <c r="H5" s="46" t="s">
        <v>29</v>
      </c>
      <c r="I5" s="47"/>
      <c r="J5" s="110" t="s">
        <v>30</v>
      </c>
      <c r="K5" s="111"/>
      <c r="L5" s="111"/>
      <c r="M5" s="112"/>
    </row>
    <row r="6" spans="1:13" ht="15.75" thickBot="1">
      <c r="A6" s="45" t="s">
        <v>31</v>
      </c>
      <c r="B6" s="46" t="s">
        <v>32</v>
      </c>
      <c r="C6" s="46"/>
      <c r="D6" s="46"/>
      <c r="E6" s="46"/>
      <c r="F6" s="46" t="s">
        <v>33</v>
      </c>
      <c r="G6" s="46"/>
      <c r="H6" s="46" t="s">
        <v>34</v>
      </c>
      <c r="I6" s="47"/>
      <c r="J6" s="113" t="s">
        <v>35</v>
      </c>
      <c r="K6" s="114"/>
      <c r="L6" s="114"/>
      <c r="M6" s="115"/>
    </row>
    <row r="7" spans="1:13">
      <c r="A7" s="107" t="s">
        <v>12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</row>
    <row r="8" spans="1:13">
      <c r="A8" s="49" t="s">
        <v>36</v>
      </c>
      <c r="B8" s="50">
        <v>5</v>
      </c>
      <c r="C8" s="50">
        <v>6</v>
      </c>
      <c r="D8" s="50">
        <v>7</v>
      </c>
      <c r="E8" s="50">
        <v>8</v>
      </c>
      <c r="F8" s="50">
        <v>9</v>
      </c>
      <c r="G8" s="50">
        <v>10</v>
      </c>
      <c r="H8" s="50">
        <v>15</v>
      </c>
      <c r="I8" s="50">
        <v>20</v>
      </c>
      <c r="J8" s="50">
        <v>25</v>
      </c>
      <c r="K8" s="50">
        <v>30</v>
      </c>
      <c r="L8" s="50">
        <v>35</v>
      </c>
      <c r="M8" s="50">
        <v>40</v>
      </c>
    </row>
    <row r="9" spans="1:13">
      <c r="A9" s="53">
        <v>50</v>
      </c>
      <c r="B9" s="1">
        <f>(B$8*A9)*60/1000</f>
        <v>15</v>
      </c>
      <c r="C9" s="1">
        <f>(C$8*A9)*60/1000</f>
        <v>18</v>
      </c>
      <c r="D9" s="1">
        <f>(D$8*$A9)*60/1000</f>
        <v>21</v>
      </c>
      <c r="E9" s="1">
        <f t="shared" ref="E9:M9" si="0">(E$8*$A9)*60/1000</f>
        <v>24</v>
      </c>
      <c r="F9" s="1">
        <f t="shared" si="0"/>
        <v>27</v>
      </c>
      <c r="G9" s="1">
        <f t="shared" si="0"/>
        <v>30</v>
      </c>
      <c r="H9" s="1">
        <f t="shared" si="0"/>
        <v>45</v>
      </c>
      <c r="I9" s="1">
        <f t="shared" si="0"/>
        <v>60</v>
      </c>
      <c r="J9" s="1">
        <f t="shared" si="0"/>
        <v>75</v>
      </c>
      <c r="K9" s="1">
        <f t="shared" si="0"/>
        <v>90</v>
      </c>
      <c r="L9" s="1">
        <f t="shared" si="0"/>
        <v>105</v>
      </c>
      <c r="M9" s="1">
        <f t="shared" si="0"/>
        <v>120</v>
      </c>
    </row>
    <row r="10" spans="1:13">
      <c r="A10" s="53">
        <v>55</v>
      </c>
      <c r="B10" s="1">
        <f>(B$8*A10)*60/1000</f>
        <v>16.5</v>
      </c>
      <c r="C10" s="1">
        <f t="shared" ref="C10:C23" si="1">(C$8*A10)*60/1000</f>
        <v>19.8</v>
      </c>
      <c r="D10" s="1">
        <f t="shared" ref="D10:M23" si="2">(D$8*$A10)*60/1000</f>
        <v>23.1</v>
      </c>
      <c r="E10" s="1">
        <f t="shared" si="2"/>
        <v>26.4</v>
      </c>
      <c r="F10" s="1">
        <f t="shared" si="2"/>
        <v>29.7</v>
      </c>
      <c r="G10" s="1">
        <f t="shared" si="2"/>
        <v>33</v>
      </c>
      <c r="H10" s="1">
        <f t="shared" si="2"/>
        <v>49.5</v>
      </c>
      <c r="I10" s="1">
        <f t="shared" si="2"/>
        <v>66</v>
      </c>
      <c r="J10" s="1">
        <f t="shared" si="2"/>
        <v>82.5</v>
      </c>
      <c r="K10" s="1">
        <f t="shared" si="2"/>
        <v>99</v>
      </c>
      <c r="L10" s="1">
        <f t="shared" si="2"/>
        <v>115.5</v>
      </c>
      <c r="M10" s="1">
        <f t="shared" si="2"/>
        <v>132</v>
      </c>
    </row>
    <row r="11" spans="1:13">
      <c r="A11" s="53">
        <v>60</v>
      </c>
      <c r="B11" s="1">
        <f t="shared" ref="B11:B23" si="3">(B$8*A11)*60/1000</f>
        <v>18</v>
      </c>
      <c r="C11" s="1">
        <f t="shared" si="1"/>
        <v>21.6</v>
      </c>
      <c r="D11" s="1">
        <f t="shared" si="2"/>
        <v>25.2</v>
      </c>
      <c r="E11" s="1">
        <f t="shared" si="2"/>
        <v>28.8</v>
      </c>
      <c r="F11" s="1">
        <f t="shared" si="2"/>
        <v>32.4</v>
      </c>
      <c r="G11" s="1">
        <f t="shared" si="2"/>
        <v>36</v>
      </c>
      <c r="H11" s="1">
        <f t="shared" si="2"/>
        <v>54</v>
      </c>
      <c r="I11" s="1">
        <f t="shared" si="2"/>
        <v>72</v>
      </c>
      <c r="J11" s="1">
        <f t="shared" si="2"/>
        <v>90</v>
      </c>
      <c r="K11" s="1">
        <f t="shared" si="2"/>
        <v>108</v>
      </c>
      <c r="L11" s="1">
        <f t="shared" si="2"/>
        <v>126</v>
      </c>
      <c r="M11" s="1">
        <f t="shared" si="2"/>
        <v>144</v>
      </c>
    </row>
    <row r="12" spans="1:13">
      <c r="A12" s="53">
        <v>65</v>
      </c>
      <c r="B12" s="1">
        <f t="shared" si="3"/>
        <v>19.5</v>
      </c>
      <c r="C12" s="1">
        <f t="shared" si="1"/>
        <v>23.4</v>
      </c>
      <c r="D12" s="1">
        <f t="shared" si="2"/>
        <v>27.3</v>
      </c>
      <c r="E12" s="1">
        <f t="shared" si="2"/>
        <v>31.2</v>
      </c>
      <c r="F12" s="1">
        <f t="shared" si="2"/>
        <v>35.1</v>
      </c>
      <c r="G12" s="1">
        <f t="shared" si="2"/>
        <v>39</v>
      </c>
      <c r="H12" s="1">
        <f t="shared" si="2"/>
        <v>58.5</v>
      </c>
      <c r="I12" s="1">
        <f t="shared" si="2"/>
        <v>78</v>
      </c>
      <c r="J12" s="1">
        <f t="shared" si="2"/>
        <v>97.5</v>
      </c>
      <c r="K12" s="1">
        <f t="shared" si="2"/>
        <v>117</v>
      </c>
      <c r="L12" s="1">
        <f t="shared" si="2"/>
        <v>136.5</v>
      </c>
      <c r="M12" s="1">
        <f t="shared" si="2"/>
        <v>156</v>
      </c>
    </row>
    <row r="13" spans="1:13">
      <c r="A13" s="53">
        <v>70</v>
      </c>
      <c r="B13" s="1">
        <f t="shared" si="3"/>
        <v>21</v>
      </c>
      <c r="C13" s="1">
        <f t="shared" si="1"/>
        <v>25.2</v>
      </c>
      <c r="D13" s="1">
        <f t="shared" si="2"/>
        <v>29.4</v>
      </c>
      <c r="E13" s="1">
        <f t="shared" si="2"/>
        <v>33.6</v>
      </c>
      <c r="F13" s="1">
        <f t="shared" si="2"/>
        <v>37.799999999999997</v>
      </c>
      <c r="G13" s="1">
        <f t="shared" si="2"/>
        <v>42</v>
      </c>
      <c r="H13" s="1">
        <f t="shared" si="2"/>
        <v>63</v>
      </c>
      <c r="I13" s="1">
        <f t="shared" si="2"/>
        <v>84</v>
      </c>
      <c r="J13" s="1">
        <f t="shared" si="2"/>
        <v>105</v>
      </c>
      <c r="K13" s="1">
        <f t="shared" si="2"/>
        <v>126</v>
      </c>
      <c r="L13" s="1">
        <f t="shared" si="2"/>
        <v>147</v>
      </c>
      <c r="M13" s="1">
        <f t="shared" si="2"/>
        <v>168</v>
      </c>
    </row>
    <row r="14" spans="1:13">
      <c r="A14" s="53">
        <v>75</v>
      </c>
      <c r="B14" s="1">
        <f t="shared" si="3"/>
        <v>22.5</v>
      </c>
      <c r="C14" s="1">
        <f t="shared" si="1"/>
        <v>27</v>
      </c>
      <c r="D14" s="1">
        <f t="shared" si="2"/>
        <v>31.5</v>
      </c>
      <c r="E14" s="1">
        <f t="shared" si="2"/>
        <v>36</v>
      </c>
      <c r="F14" s="1">
        <f t="shared" si="2"/>
        <v>40.5</v>
      </c>
      <c r="G14" s="1">
        <f t="shared" si="2"/>
        <v>45</v>
      </c>
      <c r="H14" s="1">
        <f t="shared" si="2"/>
        <v>67.5</v>
      </c>
      <c r="I14" s="1">
        <f t="shared" si="2"/>
        <v>90</v>
      </c>
      <c r="J14" s="1">
        <f t="shared" si="2"/>
        <v>112.5</v>
      </c>
      <c r="K14" s="1">
        <f t="shared" si="2"/>
        <v>135</v>
      </c>
      <c r="L14" s="1">
        <f t="shared" si="2"/>
        <v>157.5</v>
      </c>
      <c r="M14" s="1">
        <f t="shared" si="2"/>
        <v>180</v>
      </c>
    </row>
    <row r="15" spans="1:13">
      <c r="A15" s="53">
        <v>80</v>
      </c>
      <c r="B15" s="1">
        <f t="shared" si="3"/>
        <v>24</v>
      </c>
      <c r="C15" s="1">
        <f t="shared" si="1"/>
        <v>28.8</v>
      </c>
      <c r="D15" s="1">
        <f t="shared" si="2"/>
        <v>33.6</v>
      </c>
      <c r="E15" s="1">
        <f t="shared" si="2"/>
        <v>38.4</v>
      </c>
      <c r="F15" s="1">
        <f t="shared" si="2"/>
        <v>43.2</v>
      </c>
      <c r="G15" s="1">
        <f t="shared" si="2"/>
        <v>48</v>
      </c>
      <c r="H15" s="1">
        <f t="shared" si="2"/>
        <v>72</v>
      </c>
      <c r="I15" s="1">
        <f t="shared" si="2"/>
        <v>96</v>
      </c>
      <c r="J15" s="1">
        <f t="shared" si="2"/>
        <v>120</v>
      </c>
      <c r="K15" s="1">
        <f t="shared" si="2"/>
        <v>144</v>
      </c>
      <c r="L15" s="1">
        <f t="shared" si="2"/>
        <v>168</v>
      </c>
      <c r="M15" s="1">
        <f t="shared" si="2"/>
        <v>192</v>
      </c>
    </row>
    <row r="16" spans="1:13">
      <c r="A16" s="53">
        <v>85</v>
      </c>
      <c r="B16" s="1">
        <f t="shared" si="3"/>
        <v>25.5</v>
      </c>
      <c r="C16" s="1">
        <f t="shared" si="1"/>
        <v>30.6</v>
      </c>
      <c r="D16" s="1">
        <f t="shared" si="2"/>
        <v>35.700000000000003</v>
      </c>
      <c r="E16" s="1">
        <f t="shared" si="2"/>
        <v>40.799999999999997</v>
      </c>
      <c r="F16" s="1">
        <f t="shared" si="2"/>
        <v>45.9</v>
      </c>
      <c r="G16" s="1">
        <f t="shared" si="2"/>
        <v>51</v>
      </c>
      <c r="H16" s="1">
        <f t="shared" si="2"/>
        <v>76.5</v>
      </c>
      <c r="I16" s="1">
        <f t="shared" si="2"/>
        <v>102</v>
      </c>
      <c r="J16" s="1">
        <f t="shared" si="2"/>
        <v>127.5</v>
      </c>
      <c r="K16" s="1">
        <f t="shared" si="2"/>
        <v>153</v>
      </c>
      <c r="L16" s="1">
        <f t="shared" si="2"/>
        <v>178.5</v>
      </c>
      <c r="M16" s="1">
        <f t="shared" si="2"/>
        <v>204</v>
      </c>
    </row>
    <row r="17" spans="1:13">
      <c r="A17" s="53">
        <v>90</v>
      </c>
      <c r="B17" s="1">
        <f t="shared" si="3"/>
        <v>27</v>
      </c>
      <c r="C17" s="1">
        <f t="shared" si="1"/>
        <v>32.4</v>
      </c>
      <c r="D17" s="1">
        <f t="shared" si="2"/>
        <v>37.799999999999997</v>
      </c>
      <c r="E17" s="1">
        <f t="shared" si="2"/>
        <v>43.2</v>
      </c>
      <c r="F17" s="1">
        <f t="shared" si="2"/>
        <v>48.6</v>
      </c>
      <c r="G17" s="1">
        <f t="shared" si="2"/>
        <v>54</v>
      </c>
      <c r="H17" s="1">
        <f t="shared" si="2"/>
        <v>81</v>
      </c>
      <c r="I17" s="1">
        <f t="shared" si="2"/>
        <v>108</v>
      </c>
      <c r="J17" s="1">
        <f t="shared" si="2"/>
        <v>135</v>
      </c>
      <c r="K17" s="1">
        <f t="shared" si="2"/>
        <v>162</v>
      </c>
      <c r="L17" s="1">
        <f t="shared" si="2"/>
        <v>189</v>
      </c>
      <c r="M17" s="1">
        <f t="shared" si="2"/>
        <v>216</v>
      </c>
    </row>
    <row r="18" spans="1:13">
      <c r="A18" s="53">
        <v>95</v>
      </c>
      <c r="B18" s="1">
        <f t="shared" si="3"/>
        <v>28.5</v>
      </c>
      <c r="C18" s="1">
        <f t="shared" si="1"/>
        <v>34.200000000000003</v>
      </c>
      <c r="D18" s="1">
        <f t="shared" si="2"/>
        <v>39.9</v>
      </c>
      <c r="E18" s="1">
        <f t="shared" si="2"/>
        <v>45.6</v>
      </c>
      <c r="F18" s="1">
        <f t="shared" si="2"/>
        <v>51.3</v>
      </c>
      <c r="G18" s="1">
        <f t="shared" si="2"/>
        <v>57</v>
      </c>
      <c r="H18" s="1">
        <f t="shared" si="2"/>
        <v>85.5</v>
      </c>
      <c r="I18" s="1">
        <f t="shared" si="2"/>
        <v>114</v>
      </c>
      <c r="J18" s="1">
        <f t="shared" si="2"/>
        <v>142.5</v>
      </c>
      <c r="K18" s="1">
        <f t="shared" si="2"/>
        <v>171</v>
      </c>
      <c r="L18" s="1">
        <f t="shared" si="2"/>
        <v>199.5</v>
      </c>
      <c r="M18" s="1">
        <f t="shared" si="2"/>
        <v>228</v>
      </c>
    </row>
    <row r="19" spans="1:13">
      <c r="A19" s="53">
        <v>100</v>
      </c>
      <c r="B19" s="1">
        <f t="shared" si="3"/>
        <v>30</v>
      </c>
      <c r="C19" s="1">
        <f t="shared" si="1"/>
        <v>36</v>
      </c>
      <c r="D19" s="1">
        <f t="shared" si="2"/>
        <v>42</v>
      </c>
      <c r="E19" s="1">
        <f t="shared" si="2"/>
        <v>48</v>
      </c>
      <c r="F19" s="1">
        <f t="shared" si="2"/>
        <v>54</v>
      </c>
      <c r="G19" s="1">
        <f t="shared" si="2"/>
        <v>60</v>
      </c>
      <c r="H19" s="1">
        <f t="shared" si="2"/>
        <v>90</v>
      </c>
      <c r="I19" s="1">
        <f t="shared" si="2"/>
        <v>120</v>
      </c>
      <c r="J19" s="1">
        <f t="shared" si="2"/>
        <v>150</v>
      </c>
      <c r="K19" s="1">
        <f t="shared" si="2"/>
        <v>180</v>
      </c>
      <c r="L19" s="1">
        <f t="shared" si="2"/>
        <v>210</v>
      </c>
      <c r="M19" s="1">
        <f t="shared" si="2"/>
        <v>240</v>
      </c>
    </row>
    <row r="20" spans="1:13">
      <c r="A20" s="53">
        <v>105</v>
      </c>
      <c r="B20" s="1">
        <f t="shared" si="3"/>
        <v>31.5</v>
      </c>
      <c r="C20" s="1">
        <f t="shared" si="1"/>
        <v>37.799999999999997</v>
      </c>
      <c r="D20" s="1">
        <f t="shared" si="2"/>
        <v>44.1</v>
      </c>
      <c r="E20" s="1">
        <f t="shared" si="2"/>
        <v>50.4</v>
      </c>
      <c r="F20" s="1">
        <f t="shared" si="2"/>
        <v>56.7</v>
      </c>
      <c r="G20" s="1">
        <f t="shared" si="2"/>
        <v>63</v>
      </c>
      <c r="H20" s="1">
        <f t="shared" si="2"/>
        <v>94.5</v>
      </c>
      <c r="I20" s="1">
        <f t="shared" si="2"/>
        <v>126</v>
      </c>
      <c r="J20" s="1">
        <f t="shared" si="2"/>
        <v>157.5</v>
      </c>
      <c r="K20" s="1">
        <f t="shared" si="2"/>
        <v>189</v>
      </c>
      <c r="L20" s="1">
        <f t="shared" si="2"/>
        <v>220.5</v>
      </c>
      <c r="M20" s="1">
        <f t="shared" si="2"/>
        <v>252</v>
      </c>
    </row>
    <row r="21" spans="1:13">
      <c r="A21" s="53">
        <v>110</v>
      </c>
      <c r="B21" s="1">
        <f t="shared" si="3"/>
        <v>33</v>
      </c>
      <c r="C21" s="1">
        <f t="shared" si="1"/>
        <v>39.6</v>
      </c>
      <c r="D21" s="1">
        <f t="shared" si="2"/>
        <v>46.2</v>
      </c>
      <c r="E21" s="1">
        <f t="shared" si="2"/>
        <v>52.8</v>
      </c>
      <c r="F21" s="1">
        <f t="shared" si="2"/>
        <v>59.4</v>
      </c>
      <c r="G21" s="1">
        <f t="shared" si="2"/>
        <v>66</v>
      </c>
      <c r="H21" s="1">
        <f t="shared" si="2"/>
        <v>99</v>
      </c>
      <c r="I21" s="1">
        <f t="shared" si="2"/>
        <v>132</v>
      </c>
      <c r="J21" s="1">
        <f t="shared" si="2"/>
        <v>165</v>
      </c>
      <c r="K21" s="1">
        <f t="shared" si="2"/>
        <v>198</v>
      </c>
      <c r="L21" s="1">
        <f t="shared" si="2"/>
        <v>231</v>
      </c>
      <c r="M21" s="1">
        <f t="shared" si="2"/>
        <v>264</v>
      </c>
    </row>
    <row r="22" spans="1:13">
      <c r="A22" s="53">
        <v>115</v>
      </c>
      <c r="B22" s="1">
        <f t="shared" si="3"/>
        <v>34.5</v>
      </c>
      <c r="C22" s="1">
        <f t="shared" si="1"/>
        <v>41.4</v>
      </c>
      <c r="D22" s="1">
        <f t="shared" si="2"/>
        <v>48.3</v>
      </c>
      <c r="E22" s="1">
        <f t="shared" si="2"/>
        <v>55.2</v>
      </c>
      <c r="F22" s="1">
        <f t="shared" si="2"/>
        <v>62.1</v>
      </c>
      <c r="G22" s="1">
        <f t="shared" si="2"/>
        <v>69</v>
      </c>
      <c r="H22" s="1">
        <f t="shared" si="2"/>
        <v>103.5</v>
      </c>
      <c r="I22" s="1">
        <f t="shared" si="2"/>
        <v>138</v>
      </c>
      <c r="J22" s="1">
        <f t="shared" si="2"/>
        <v>172.5</v>
      </c>
      <c r="K22" s="1">
        <f t="shared" si="2"/>
        <v>207</v>
      </c>
      <c r="L22" s="1">
        <f t="shared" si="2"/>
        <v>241.5</v>
      </c>
      <c r="M22" s="1">
        <f t="shared" si="2"/>
        <v>276</v>
      </c>
    </row>
    <row r="23" spans="1:13">
      <c r="A23" s="53">
        <v>120</v>
      </c>
      <c r="B23" s="1">
        <f t="shared" si="3"/>
        <v>36</v>
      </c>
      <c r="C23" s="1">
        <f t="shared" si="1"/>
        <v>43.2</v>
      </c>
      <c r="D23" s="1">
        <f t="shared" si="2"/>
        <v>50.4</v>
      </c>
      <c r="E23" s="1">
        <f t="shared" si="2"/>
        <v>57.6</v>
      </c>
      <c r="F23" s="1">
        <f t="shared" si="2"/>
        <v>64.8</v>
      </c>
      <c r="G23" s="1">
        <f t="shared" si="2"/>
        <v>72</v>
      </c>
      <c r="H23" s="1">
        <f t="shared" si="2"/>
        <v>108</v>
      </c>
      <c r="I23" s="1">
        <f t="shared" si="2"/>
        <v>144</v>
      </c>
      <c r="J23" s="1">
        <f t="shared" si="2"/>
        <v>180</v>
      </c>
      <c r="K23" s="1">
        <f t="shared" si="2"/>
        <v>216</v>
      </c>
      <c r="L23" s="1">
        <f t="shared" si="2"/>
        <v>252</v>
      </c>
      <c r="M23" s="1">
        <f t="shared" si="2"/>
        <v>288</v>
      </c>
    </row>
    <row r="24" spans="1:13">
      <c r="A24" s="107" t="s">
        <v>18</v>
      </c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</row>
    <row r="25" spans="1:13">
      <c r="A25" s="51" t="s">
        <v>36</v>
      </c>
      <c r="B25" s="52">
        <v>5</v>
      </c>
      <c r="C25" s="52">
        <v>6</v>
      </c>
      <c r="D25" s="52">
        <v>7</v>
      </c>
      <c r="E25" s="52">
        <v>8</v>
      </c>
      <c r="F25" s="52">
        <v>9</v>
      </c>
      <c r="G25" s="52">
        <v>10</v>
      </c>
      <c r="H25" s="52">
        <v>15</v>
      </c>
      <c r="I25" s="52">
        <v>20</v>
      </c>
      <c r="J25" s="52">
        <v>25</v>
      </c>
      <c r="K25" s="52">
        <v>30</v>
      </c>
      <c r="L25" s="52">
        <v>35</v>
      </c>
      <c r="M25" s="52">
        <v>40</v>
      </c>
    </row>
    <row r="26" spans="1:13">
      <c r="A26" s="52">
        <v>50</v>
      </c>
      <c r="B26" s="1">
        <f t="shared" ref="B26:B40" si="4">(B$8*A26)*60/2000</f>
        <v>7.5</v>
      </c>
      <c r="C26" s="1">
        <f t="shared" ref="C26:C40" si="5">(C$8*A26)*60/2000</f>
        <v>9</v>
      </c>
      <c r="D26" s="1">
        <f t="shared" ref="D26:M40" si="6">(D$8*$A26)*60/2000</f>
        <v>10.5</v>
      </c>
      <c r="E26" s="1">
        <f t="shared" si="6"/>
        <v>12</v>
      </c>
      <c r="F26" s="1">
        <f t="shared" si="6"/>
        <v>13.5</v>
      </c>
      <c r="G26" s="1">
        <f t="shared" si="6"/>
        <v>15</v>
      </c>
      <c r="H26" s="1">
        <f t="shared" si="6"/>
        <v>22.5</v>
      </c>
      <c r="I26" s="1">
        <f t="shared" si="6"/>
        <v>30</v>
      </c>
      <c r="J26" s="1">
        <f t="shared" si="6"/>
        <v>37.5</v>
      </c>
      <c r="K26" s="1">
        <f t="shared" si="6"/>
        <v>45</v>
      </c>
      <c r="L26" s="1">
        <f t="shared" si="6"/>
        <v>52.5</v>
      </c>
      <c r="M26" s="1">
        <f t="shared" si="6"/>
        <v>60</v>
      </c>
    </row>
    <row r="27" spans="1:13">
      <c r="A27" s="52">
        <v>55</v>
      </c>
      <c r="B27" s="1">
        <f t="shared" si="4"/>
        <v>8.25</v>
      </c>
      <c r="C27" s="1">
        <f t="shared" si="5"/>
        <v>9.9</v>
      </c>
      <c r="D27" s="1">
        <f t="shared" si="6"/>
        <v>11.55</v>
      </c>
      <c r="E27" s="1">
        <f t="shared" si="6"/>
        <v>13.2</v>
      </c>
      <c r="F27" s="1">
        <f t="shared" si="6"/>
        <v>14.85</v>
      </c>
      <c r="G27" s="1">
        <f t="shared" si="6"/>
        <v>16.5</v>
      </c>
      <c r="H27" s="1">
        <f t="shared" si="6"/>
        <v>24.75</v>
      </c>
      <c r="I27" s="1">
        <f t="shared" si="6"/>
        <v>33</v>
      </c>
      <c r="J27" s="1">
        <f t="shared" si="6"/>
        <v>41.25</v>
      </c>
      <c r="K27" s="1">
        <f t="shared" si="6"/>
        <v>49.5</v>
      </c>
      <c r="L27" s="1">
        <f t="shared" si="6"/>
        <v>57.75</v>
      </c>
      <c r="M27" s="1">
        <f t="shared" si="6"/>
        <v>66</v>
      </c>
    </row>
    <row r="28" spans="1:13">
      <c r="A28" s="52">
        <v>60</v>
      </c>
      <c r="B28" s="1">
        <f t="shared" si="4"/>
        <v>9</v>
      </c>
      <c r="C28" s="1">
        <f t="shared" si="5"/>
        <v>10.8</v>
      </c>
      <c r="D28" s="1">
        <f t="shared" si="6"/>
        <v>12.6</v>
      </c>
      <c r="E28" s="1">
        <f t="shared" si="6"/>
        <v>14.4</v>
      </c>
      <c r="F28" s="1">
        <f t="shared" si="6"/>
        <v>16.2</v>
      </c>
      <c r="G28" s="1">
        <f t="shared" si="6"/>
        <v>18</v>
      </c>
      <c r="H28" s="1">
        <f t="shared" si="6"/>
        <v>27</v>
      </c>
      <c r="I28" s="1">
        <f t="shared" si="6"/>
        <v>36</v>
      </c>
      <c r="J28" s="1">
        <f t="shared" si="6"/>
        <v>45</v>
      </c>
      <c r="K28" s="1">
        <f t="shared" si="6"/>
        <v>54</v>
      </c>
      <c r="L28" s="1">
        <f t="shared" si="6"/>
        <v>63</v>
      </c>
      <c r="M28" s="1">
        <f t="shared" si="6"/>
        <v>72</v>
      </c>
    </row>
    <row r="29" spans="1:13">
      <c r="A29" s="52">
        <v>65</v>
      </c>
      <c r="B29" s="1">
        <f t="shared" si="4"/>
        <v>9.75</v>
      </c>
      <c r="C29" s="1">
        <f t="shared" si="5"/>
        <v>11.7</v>
      </c>
      <c r="D29" s="1">
        <f t="shared" si="6"/>
        <v>13.65</v>
      </c>
      <c r="E29" s="1">
        <f t="shared" si="6"/>
        <v>15.6</v>
      </c>
      <c r="F29" s="1">
        <f t="shared" si="6"/>
        <v>17.55</v>
      </c>
      <c r="G29" s="1">
        <f t="shared" si="6"/>
        <v>19.5</v>
      </c>
      <c r="H29" s="1">
        <f t="shared" si="6"/>
        <v>29.25</v>
      </c>
      <c r="I29" s="1">
        <f t="shared" si="6"/>
        <v>39</v>
      </c>
      <c r="J29" s="1">
        <f t="shared" si="6"/>
        <v>48.75</v>
      </c>
      <c r="K29" s="1">
        <f t="shared" si="6"/>
        <v>58.5</v>
      </c>
      <c r="L29" s="1">
        <f t="shared" si="6"/>
        <v>68.25</v>
      </c>
      <c r="M29" s="1">
        <f t="shared" si="6"/>
        <v>78</v>
      </c>
    </row>
    <row r="30" spans="1:13">
      <c r="A30" s="52">
        <v>70</v>
      </c>
      <c r="B30" s="1">
        <f t="shared" si="4"/>
        <v>10.5</v>
      </c>
      <c r="C30" s="1">
        <f t="shared" si="5"/>
        <v>12.6</v>
      </c>
      <c r="D30" s="1">
        <f t="shared" si="6"/>
        <v>14.7</v>
      </c>
      <c r="E30" s="1">
        <f t="shared" si="6"/>
        <v>16.8</v>
      </c>
      <c r="F30" s="1">
        <f t="shared" si="6"/>
        <v>18.899999999999999</v>
      </c>
      <c r="G30" s="1">
        <f t="shared" si="6"/>
        <v>21</v>
      </c>
      <c r="H30" s="1">
        <f t="shared" si="6"/>
        <v>31.5</v>
      </c>
      <c r="I30" s="1">
        <f t="shared" si="6"/>
        <v>42</v>
      </c>
      <c r="J30" s="1">
        <f t="shared" si="6"/>
        <v>52.5</v>
      </c>
      <c r="K30" s="1">
        <f t="shared" si="6"/>
        <v>63</v>
      </c>
      <c r="L30" s="1">
        <f t="shared" si="6"/>
        <v>73.5</v>
      </c>
      <c r="M30" s="1">
        <f t="shared" si="6"/>
        <v>84</v>
      </c>
    </row>
    <row r="31" spans="1:13">
      <c r="A31" s="52">
        <v>75</v>
      </c>
      <c r="B31" s="1">
        <f t="shared" si="4"/>
        <v>11.25</v>
      </c>
      <c r="C31" s="1">
        <f t="shared" si="5"/>
        <v>13.5</v>
      </c>
      <c r="D31" s="1">
        <f t="shared" si="6"/>
        <v>15.75</v>
      </c>
      <c r="E31" s="1">
        <f t="shared" si="6"/>
        <v>18</v>
      </c>
      <c r="F31" s="1">
        <f t="shared" si="6"/>
        <v>20.25</v>
      </c>
      <c r="G31" s="1">
        <f t="shared" si="6"/>
        <v>22.5</v>
      </c>
      <c r="H31" s="1">
        <f t="shared" si="6"/>
        <v>33.75</v>
      </c>
      <c r="I31" s="1">
        <f t="shared" si="6"/>
        <v>45</v>
      </c>
      <c r="J31" s="1">
        <f t="shared" si="6"/>
        <v>56.25</v>
      </c>
      <c r="K31" s="1">
        <f t="shared" si="6"/>
        <v>67.5</v>
      </c>
      <c r="L31" s="1">
        <f t="shared" si="6"/>
        <v>78.75</v>
      </c>
      <c r="M31" s="1">
        <f t="shared" si="6"/>
        <v>90</v>
      </c>
    </row>
    <row r="32" spans="1:13">
      <c r="A32" s="52">
        <v>80</v>
      </c>
      <c r="B32" s="1">
        <f t="shared" si="4"/>
        <v>12</v>
      </c>
      <c r="C32" s="1">
        <f t="shared" si="5"/>
        <v>14.4</v>
      </c>
      <c r="D32" s="1">
        <f t="shared" si="6"/>
        <v>16.8</v>
      </c>
      <c r="E32" s="1">
        <f t="shared" si="6"/>
        <v>19.2</v>
      </c>
      <c r="F32" s="1">
        <f t="shared" si="6"/>
        <v>21.6</v>
      </c>
      <c r="G32" s="1">
        <f t="shared" si="6"/>
        <v>24</v>
      </c>
      <c r="H32" s="1">
        <f t="shared" si="6"/>
        <v>36</v>
      </c>
      <c r="I32" s="1">
        <f t="shared" si="6"/>
        <v>48</v>
      </c>
      <c r="J32" s="1">
        <f t="shared" si="6"/>
        <v>60</v>
      </c>
      <c r="K32" s="1">
        <f t="shared" si="6"/>
        <v>72</v>
      </c>
      <c r="L32" s="1">
        <f t="shared" si="6"/>
        <v>84</v>
      </c>
      <c r="M32" s="1">
        <f t="shared" si="6"/>
        <v>96</v>
      </c>
    </row>
    <row r="33" spans="1:13">
      <c r="A33" s="52">
        <v>85</v>
      </c>
      <c r="B33" s="1">
        <f t="shared" si="4"/>
        <v>12.75</v>
      </c>
      <c r="C33" s="1">
        <f t="shared" si="5"/>
        <v>15.3</v>
      </c>
      <c r="D33" s="1">
        <f t="shared" si="6"/>
        <v>17.850000000000001</v>
      </c>
      <c r="E33" s="1">
        <f t="shared" si="6"/>
        <v>20.399999999999999</v>
      </c>
      <c r="F33" s="1">
        <f t="shared" si="6"/>
        <v>22.95</v>
      </c>
      <c r="G33" s="1">
        <f t="shared" si="6"/>
        <v>25.5</v>
      </c>
      <c r="H33" s="1">
        <f t="shared" si="6"/>
        <v>38.25</v>
      </c>
      <c r="I33" s="1">
        <f t="shared" si="6"/>
        <v>51</v>
      </c>
      <c r="J33" s="1">
        <f t="shared" si="6"/>
        <v>63.75</v>
      </c>
      <c r="K33" s="1">
        <f t="shared" si="6"/>
        <v>76.5</v>
      </c>
      <c r="L33" s="1">
        <f t="shared" si="6"/>
        <v>89.25</v>
      </c>
      <c r="M33" s="1">
        <f t="shared" si="6"/>
        <v>102</v>
      </c>
    </row>
    <row r="34" spans="1:13">
      <c r="A34" s="52">
        <v>90</v>
      </c>
      <c r="B34" s="1">
        <f t="shared" si="4"/>
        <v>13.5</v>
      </c>
      <c r="C34" s="1">
        <f t="shared" si="5"/>
        <v>16.2</v>
      </c>
      <c r="D34" s="1">
        <f t="shared" si="6"/>
        <v>18.899999999999999</v>
      </c>
      <c r="E34" s="1">
        <f t="shared" si="6"/>
        <v>21.6</v>
      </c>
      <c r="F34" s="1">
        <f t="shared" si="6"/>
        <v>24.3</v>
      </c>
      <c r="G34" s="1">
        <f t="shared" si="6"/>
        <v>27</v>
      </c>
      <c r="H34" s="1">
        <f t="shared" si="6"/>
        <v>40.5</v>
      </c>
      <c r="I34" s="1">
        <f t="shared" si="6"/>
        <v>54</v>
      </c>
      <c r="J34" s="1">
        <f t="shared" si="6"/>
        <v>67.5</v>
      </c>
      <c r="K34" s="1">
        <f t="shared" si="6"/>
        <v>81</v>
      </c>
      <c r="L34" s="1">
        <f t="shared" si="6"/>
        <v>94.5</v>
      </c>
      <c r="M34" s="1">
        <f t="shared" si="6"/>
        <v>108</v>
      </c>
    </row>
    <row r="35" spans="1:13">
      <c r="A35" s="52">
        <v>95</v>
      </c>
      <c r="B35" s="1">
        <f t="shared" si="4"/>
        <v>14.25</v>
      </c>
      <c r="C35" s="1">
        <f t="shared" si="5"/>
        <v>17.100000000000001</v>
      </c>
      <c r="D35" s="1">
        <f t="shared" si="6"/>
        <v>19.95</v>
      </c>
      <c r="E35" s="1">
        <f t="shared" si="6"/>
        <v>22.8</v>
      </c>
      <c r="F35" s="1">
        <f t="shared" si="6"/>
        <v>25.65</v>
      </c>
      <c r="G35" s="1">
        <f t="shared" si="6"/>
        <v>28.5</v>
      </c>
      <c r="H35" s="1">
        <f t="shared" si="6"/>
        <v>42.75</v>
      </c>
      <c r="I35" s="1">
        <f t="shared" si="6"/>
        <v>57</v>
      </c>
      <c r="J35" s="1">
        <f t="shared" si="6"/>
        <v>71.25</v>
      </c>
      <c r="K35" s="1">
        <f t="shared" si="6"/>
        <v>85.5</v>
      </c>
      <c r="L35" s="1">
        <f t="shared" si="6"/>
        <v>99.75</v>
      </c>
      <c r="M35" s="1">
        <f t="shared" si="6"/>
        <v>114</v>
      </c>
    </row>
    <row r="36" spans="1:13">
      <c r="A36" s="52">
        <v>100</v>
      </c>
      <c r="B36" s="1">
        <f t="shared" si="4"/>
        <v>15</v>
      </c>
      <c r="C36" s="1">
        <f t="shared" si="5"/>
        <v>18</v>
      </c>
      <c r="D36" s="1">
        <f t="shared" si="6"/>
        <v>21</v>
      </c>
      <c r="E36" s="1">
        <f t="shared" si="6"/>
        <v>24</v>
      </c>
      <c r="F36" s="1">
        <f t="shared" si="6"/>
        <v>27</v>
      </c>
      <c r="G36" s="1">
        <f t="shared" si="6"/>
        <v>30</v>
      </c>
      <c r="H36" s="1">
        <f t="shared" si="6"/>
        <v>45</v>
      </c>
      <c r="I36" s="1">
        <f t="shared" si="6"/>
        <v>60</v>
      </c>
      <c r="J36" s="1">
        <f t="shared" si="6"/>
        <v>75</v>
      </c>
      <c r="K36" s="1">
        <f t="shared" si="6"/>
        <v>90</v>
      </c>
      <c r="L36" s="1">
        <f t="shared" si="6"/>
        <v>105</v>
      </c>
      <c r="M36" s="1">
        <f t="shared" si="6"/>
        <v>120</v>
      </c>
    </row>
    <row r="37" spans="1:13">
      <c r="A37" s="52">
        <v>105</v>
      </c>
      <c r="B37" s="1">
        <f t="shared" si="4"/>
        <v>15.75</v>
      </c>
      <c r="C37" s="1">
        <f t="shared" si="5"/>
        <v>18.899999999999999</v>
      </c>
      <c r="D37" s="1">
        <f t="shared" si="6"/>
        <v>22.05</v>
      </c>
      <c r="E37" s="1">
        <f t="shared" si="6"/>
        <v>25.2</v>
      </c>
      <c r="F37" s="1">
        <f t="shared" si="6"/>
        <v>28.35</v>
      </c>
      <c r="G37" s="1">
        <f t="shared" si="6"/>
        <v>31.5</v>
      </c>
      <c r="H37" s="1">
        <f t="shared" si="6"/>
        <v>47.25</v>
      </c>
      <c r="I37" s="1">
        <f t="shared" si="6"/>
        <v>63</v>
      </c>
      <c r="J37" s="1">
        <f t="shared" si="6"/>
        <v>78.75</v>
      </c>
      <c r="K37" s="1">
        <f t="shared" si="6"/>
        <v>94.5</v>
      </c>
      <c r="L37" s="1">
        <f t="shared" si="6"/>
        <v>110.25</v>
      </c>
      <c r="M37" s="1">
        <f t="shared" si="6"/>
        <v>126</v>
      </c>
    </row>
    <row r="38" spans="1:13">
      <c r="A38" s="52">
        <v>110</v>
      </c>
      <c r="B38" s="1">
        <f t="shared" si="4"/>
        <v>16.5</v>
      </c>
      <c r="C38" s="1">
        <f t="shared" si="5"/>
        <v>19.8</v>
      </c>
      <c r="D38" s="1">
        <f t="shared" si="6"/>
        <v>23.1</v>
      </c>
      <c r="E38" s="1">
        <f t="shared" si="6"/>
        <v>26.4</v>
      </c>
      <c r="F38" s="1">
        <f t="shared" si="6"/>
        <v>29.7</v>
      </c>
      <c r="G38" s="1">
        <f t="shared" si="6"/>
        <v>33</v>
      </c>
      <c r="H38" s="1">
        <f t="shared" si="6"/>
        <v>49.5</v>
      </c>
      <c r="I38" s="1">
        <f t="shared" si="6"/>
        <v>66</v>
      </c>
      <c r="J38" s="1">
        <f t="shared" si="6"/>
        <v>82.5</v>
      </c>
      <c r="K38" s="1">
        <f t="shared" si="6"/>
        <v>99</v>
      </c>
      <c r="L38" s="1">
        <f t="shared" si="6"/>
        <v>115.5</v>
      </c>
      <c r="M38" s="1">
        <f t="shared" si="6"/>
        <v>132</v>
      </c>
    </row>
    <row r="39" spans="1:13">
      <c r="A39" s="52">
        <v>115</v>
      </c>
      <c r="B39" s="1">
        <f t="shared" si="4"/>
        <v>17.25</v>
      </c>
      <c r="C39" s="1">
        <f t="shared" si="5"/>
        <v>20.7</v>
      </c>
      <c r="D39" s="1">
        <f t="shared" si="6"/>
        <v>24.15</v>
      </c>
      <c r="E39" s="1">
        <f t="shared" si="6"/>
        <v>27.6</v>
      </c>
      <c r="F39" s="1">
        <f t="shared" si="6"/>
        <v>31.05</v>
      </c>
      <c r="G39" s="1">
        <f t="shared" si="6"/>
        <v>34.5</v>
      </c>
      <c r="H39" s="1">
        <f t="shared" si="6"/>
        <v>51.75</v>
      </c>
      <c r="I39" s="1">
        <f t="shared" si="6"/>
        <v>69</v>
      </c>
      <c r="J39" s="1">
        <f t="shared" si="6"/>
        <v>86.25</v>
      </c>
      <c r="K39" s="1">
        <f t="shared" si="6"/>
        <v>103.5</v>
      </c>
      <c r="L39" s="1">
        <f t="shared" si="6"/>
        <v>120.75</v>
      </c>
      <c r="M39" s="1">
        <f t="shared" si="6"/>
        <v>138</v>
      </c>
    </row>
    <row r="40" spans="1:13">
      <c r="A40" s="52">
        <v>120</v>
      </c>
      <c r="B40" s="1">
        <f t="shared" si="4"/>
        <v>18</v>
      </c>
      <c r="C40" s="1">
        <f t="shared" si="5"/>
        <v>21.6</v>
      </c>
      <c r="D40" s="1">
        <f t="shared" si="6"/>
        <v>25.2</v>
      </c>
      <c r="E40" s="1">
        <f t="shared" si="6"/>
        <v>28.8</v>
      </c>
      <c r="F40" s="1">
        <f t="shared" si="6"/>
        <v>32.4</v>
      </c>
      <c r="G40" s="1">
        <f t="shared" si="6"/>
        <v>36</v>
      </c>
      <c r="H40" s="1">
        <f t="shared" si="6"/>
        <v>54</v>
      </c>
      <c r="I40" s="1">
        <f t="shared" si="6"/>
        <v>72</v>
      </c>
      <c r="J40" s="1">
        <f t="shared" si="6"/>
        <v>90</v>
      </c>
      <c r="K40" s="1">
        <f t="shared" si="6"/>
        <v>108</v>
      </c>
      <c r="L40" s="1">
        <f t="shared" si="6"/>
        <v>126</v>
      </c>
      <c r="M40" s="1">
        <f t="shared" si="6"/>
        <v>144</v>
      </c>
    </row>
    <row r="41" spans="1:13">
      <c r="A41" s="116" t="s">
        <v>22</v>
      </c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</row>
    <row r="42" spans="1:13">
      <c r="A42" s="51" t="s">
        <v>36</v>
      </c>
      <c r="B42" s="52">
        <v>5</v>
      </c>
      <c r="C42" s="52">
        <v>6</v>
      </c>
      <c r="D42" s="52">
        <v>7</v>
      </c>
      <c r="E42" s="52">
        <v>8</v>
      </c>
      <c r="F42" s="52">
        <v>9</v>
      </c>
      <c r="G42" s="52">
        <v>10</v>
      </c>
      <c r="H42" s="52">
        <v>15</v>
      </c>
      <c r="I42" s="52">
        <v>20</v>
      </c>
      <c r="J42" s="52">
        <v>25</v>
      </c>
      <c r="K42" s="52">
        <v>30</v>
      </c>
      <c r="L42" s="52">
        <v>35</v>
      </c>
      <c r="M42" s="52">
        <v>40</v>
      </c>
    </row>
    <row r="43" spans="1:13">
      <c r="A43" s="54">
        <v>50</v>
      </c>
      <c r="B43" s="1">
        <f t="shared" ref="B43:B57" si="7">(B$8*A43)*60/3000</f>
        <v>5</v>
      </c>
      <c r="C43" s="1">
        <f t="shared" ref="C43:C57" si="8">(C$8*A43)*60/3000</f>
        <v>6</v>
      </c>
      <c r="D43" s="1">
        <f t="shared" ref="D43:M57" si="9">(D$8*$A43)*60/3000</f>
        <v>7</v>
      </c>
      <c r="E43" s="1">
        <f t="shared" si="9"/>
        <v>8</v>
      </c>
      <c r="F43" s="1">
        <f t="shared" si="9"/>
        <v>9</v>
      </c>
      <c r="G43" s="1">
        <f t="shared" si="9"/>
        <v>10</v>
      </c>
      <c r="H43" s="1">
        <f t="shared" si="9"/>
        <v>15</v>
      </c>
      <c r="I43" s="1">
        <f t="shared" si="9"/>
        <v>20</v>
      </c>
      <c r="J43" s="1">
        <f t="shared" si="9"/>
        <v>25</v>
      </c>
      <c r="K43" s="1">
        <f t="shared" si="9"/>
        <v>30</v>
      </c>
      <c r="L43" s="1">
        <f t="shared" si="9"/>
        <v>35</v>
      </c>
      <c r="M43" s="1">
        <f t="shared" si="9"/>
        <v>40</v>
      </c>
    </row>
    <row r="44" spans="1:13">
      <c r="A44" s="54">
        <v>55</v>
      </c>
      <c r="B44" s="1">
        <f t="shared" si="7"/>
        <v>5.5</v>
      </c>
      <c r="C44" s="1">
        <f t="shared" si="8"/>
        <v>6.6</v>
      </c>
      <c r="D44" s="1">
        <f t="shared" si="9"/>
        <v>7.7</v>
      </c>
      <c r="E44" s="1">
        <f t="shared" si="9"/>
        <v>8.8000000000000007</v>
      </c>
      <c r="F44" s="1">
        <f t="shared" si="9"/>
        <v>9.9</v>
      </c>
      <c r="G44" s="1">
        <f t="shared" si="9"/>
        <v>11</v>
      </c>
      <c r="H44" s="1">
        <f t="shared" si="9"/>
        <v>16.5</v>
      </c>
      <c r="I44" s="1">
        <f t="shared" si="9"/>
        <v>22</v>
      </c>
      <c r="J44" s="1">
        <f t="shared" si="9"/>
        <v>27.5</v>
      </c>
      <c r="K44" s="1">
        <f t="shared" si="9"/>
        <v>33</v>
      </c>
      <c r="L44" s="1">
        <f t="shared" si="9"/>
        <v>38.5</v>
      </c>
      <c r="M44" s="1">
        <f t="shared" si="9"/>
        <v>44</v>
      </c>
    </row>
    <row r="45" spans="1:13">
      <c r="A45" s="54">
        <v>60</v>
      </c>
      <c r="B45" s="1">
        <f t="shared" si="7"/>
        <v>6</v>
      </c>
      <c r="C45" s="1">
        <f t="shared" si="8"/>
        <v>7.2</v>
      </c>
      <c r="D45" s="1">
        <f t="shared" si="9"/>
        <v>8.4</v>
      </c>
      <c r="E45" s="1">
        <f t="shared" si="9"/>
        <v>9.6</v>
      </c>
      <c r="F45" s="1">
        <f t="shared" si="9"/>
        <v>10.8</v>
      </c>
      <c r="G45" s="1">
        <f t="shared" si="9"/>
        <v>12</v>
      </c>
      <c r="H45" s="1">
        <f t="shared" si="9"/>
        <v>18</v>
      </c>
      <c r="I45" s="1">
        <f t="shared" si="9"/>
        <v>24</v>
      </c>
      <c r="J45" s="1">
        <f t="shared" si="9"/>
        <v>30</v>
      </c>
      <c r="K45" s="1">
        <f t="shared" si="9"/>
        <v>36</v>
      </c>
      <c r="L45" s="1">
        <f t="shared" si="9"/>
        <v>42</v>
      </c>
      <c r="M45" s="1">
        <f t="shared" si="9"/>
        <v>48</v>
      </c>
    </row>
    <row r="46" spans="1:13">
      <c r="A46" s="54">
        <v>65</v>
      </c>
      <c r="B46" s="1">
        <f t="shared" si="7"/>
        <v>6.5</v>
      </c>
      <c r="C46" s="1">
        <f t="shared" si="8"/>
        <v>7.8</v>
      </c>
      <c r="D46" s="1">
        <f t="shared" si="9"/>
        <v>9.1</v>
      </c>
      <c r="E46" s="1">
        <f t="shared" si="9"/>
        <v>10.4</v>
      </c>
      <c r="F46" s="1">
        <f t="shared" si="9"/>
        <v>11.7</v>
      </c>
      <c r="G46" s="1">
        <f t="shared" si="9"/>
        <v>13</v>
      </c>
      <c r="H46" s="1">
        <f t="shared" si="9"/>
        <v>19.5</v>
      </c>
      <c r="I46" s="1">
        <f t="shared" si="9"/>
        <v>26</v>
      </c>
      <c r="J46" s="1">
        <f t="shared" si="9"/>
        <v>32.5</v>
      </c>
      <c r="K46" s="1">
        <f t="shared" si="9"/>
        <v>39</v>
      </c>
      <c r="L46" s="1">
        <f t="shared" si="9"/>
        <v>45.5</v>
      </c>
      <c r="M46" s="1">
        <f t="shared" si="9"/>
        <v>52</v>
      </c>
    </row>
    <row r="47" spans="1:13">
      <c r="A47" s="54">
        <v>70</v>
      </c>
      <c r="B47" s="1">
        <f t="shared" si="7"/>
        <v>7</v>
      </c>
      <c r="C47" s="1">
        <f t="shared" si="8"/>
        <v>8.4</v>
      </c>
      <c r="D47" s="1">
        <f t="shared" si="9"/>
        <v>9.8000000000000007</v>
      </c>
      <c r="E47" s="1">
        <f t="shared" si="9"/>
        <v>11.2</v>
      </c>
      <c r="F47" s="1">
        <f t="shared" si="9"/>
        <v>12.6</v>
      </c>
      <c r="G47" s="1">
        <f t="shared" si="9"/>
        <v>14</v>
      </c>
      <c r="H47" s="1">
        <f t="shared" si="9"/>
        <v>21</v>
      </c>
      <c r="I47" s="1">
        <f t="shared" si="9"/>
        <v>28</v>
      </c>
      <c r="J47" s="1">
        <f t="shared" si="9"/>
        <v>35</v>
      </c>
      <c r="K47" s="1">
        <f t="shared" si="9"/>
        <v>42</v>
      </c>
      <c r="L47" s="1">
        <f t="shared" si="9"/>
        <v>49</v>
      </c>
      <c r="M47" s="1">
        <f t="shared" si="9"/>
        <v>56</v>
      </c>
    </row>
    <row r="48" spans="1:13">
      <c r="A48" s="54">
        <v>75</v>
      </c>
      <c r="B48" s="1">
        <f t="shared" si="7"/>
        <v>7.5</v>
      </c>
      <c r="C48" s="1">
        <f t="shared" si="8"/>
        <v>9</v>
      </c>
      <c r="D48" s="1">
        <f t="shared" si="9"/>
        <v>10.5</v>
      </c>
      <c r="E48" s="1">
        <f t="shared" si="9"/>
        <v>12</v>
      </c>
      <c r="F48" s="1">
        <f t="shared" si="9"/>
        <v>13.5</v>
      </c>
      <c r="G48" s="1">
        <f t="shared" si="9"/>
        <v>15</v>
      </c>
      <c r="H48" s="1">
        <f t="shared" si="9"/>
        <v>22.5</v>
      </c>
      <c r="I48" s="1">
        <f t="shared" si="9"/>
        <v>30</v>
      </c>
      <c r="J48" s="1">
        <f t="shared" si="9"/>
        <v>37.5</v>
      </c>
      <c r="K48" s="1">
        <f t="shared" si="9"/>
        <v>45</v>
      </c>
      <c r="L48" s="1">
        <f t="shared" si="9"/>
        <v>52.5</v>
      </c>
      <c r="M48" s="1">
        <f t="shared" si="9"/>
        <v>60</v>
      </c>
    </row>
    <row r="49" spans="1:13">
      <c r="A49" s="54">
        <v>80</v>
      </c>
      <c r="B49" s="1">
        <f t="shared" si="7"/>
        <v>8</v>
      </c>
      <c r="C49" s="1">
        <f t="shared" si="8"/>
        <v>9.6</v>
      </c>
      <c r="D49" s="1">
        <f t="shared" si="9"/>
        <v>11.2</v>
      </c>
      <c r="E49" s="1">
        <f t="shared" si="9"/>
        <v>12.8</v>
      </c>
      <c r="F49" s="1">
        <f t="shared" si="9"/>
        <v>14.4</v>
      </c>
      <c r="G49" s="1">
        <f t="shared" si="9"/>
        <v>16</v>
      </c>
      <c r="H49" s="1">
        <f t="shared" si="9"/>
        <v>24</v>
      </c>
      <c r="I49" s="1">
        <f t="shared" si="9"/>
        <v>32</v>
      </c>
      <c r="J49" s="1">
        <f t="shared" si="9"/>
        <v>40</v>
      </c>
      <c r="K49" s="1">
        <f t="shared" si="9"/>
        <v>48</v>
      </c>
      <c r="L49" s="1">
        <f t="shared" si="9"/>
        <v>56</v>
      </c>
      <c r="M49" s="1">
        <f t="shared" si="9"/>
        <v>64</v>
      </c>
    </row>
    <row r="50" spans="1:13">
      <c r="A50" s="54">
        <v>85</v>
      </c>
      <c r="B50" s="1">
        <f t="shared" si="7"/>
        <v>8.5</v>
      </c>
      <c r="C50" s="1">
        <f t="shared" si="8"/>
        <v>10.199999999999999</v>
      </c>
      <c r="D50" s="1">
        <f t="shared" si="9"/>
        <v>11.9</v>
      </c>
      <c r="E50" s="1">
        <f t="shared" si="9"/>
        <v>13.6</v>
      </c>
      <c r="F50" s="1">
        <f t="shared" si="9"/>
        <v>15.3</v>
      </c>
      <c r="G50" s="1">
        <f t="shared" si="9"/>
        <v>17</v>
      </c>
      <c r="H50" s="1">
        <f t="shared" si="9"/>
        <v>25.5</v>
      </c>
      <c r="I50" s="1">
        <f t="shared" si="9"/>
        <v>34</v>
      </c>
      <c r="J50" s="1">
        <f t="shared" si="9"/>
        <v>42.5</v>
      </c>
      <c r="K50" s="1">
        <f t="shared" si="9"/>
        <v>51</v>
      </c>
      <c r="L50" s="1">
        <f t="shared" si="9"/>
        <v>59.5</v>
      </c>
      <c r="M50" s="1">
        <f t="shared" si="9"/>
        <v>68</v>
      </c>
    </row>
    <row r="51" spans="1:13">
      <c r="A51" s="54">
        <v>90</v>
      </c>
      <c r="B51" s="1">
        <f t="shared" si="7"/>
        <v>9</v>
      </c>
      <c r="C51" s="1">
        <f t="shared" si="8"/>
        <v>10.8</v>
      </c>
      <c r="D51" s="1">
        <f t="shared" si="9"/>
        <v>12.6</v>
      </c>
      <c r="E51" s="1">
        <f t="shared" si="9"/>
        <v>14.4</v>
      </c>
      <c r="F51" s="1">
        <f t="shared" si="9"/>
        <v>16.2</v>
      </c>
      <c r="G51" s="1">
        <f t="shared" si="9"/>
        <v>18</v>
      </c>
      <c r="H51" s="1">
        <f t="shared" si="9"/>
        <v>27</v>
      </c>
      <c r="I51" s="1">
        <f t="shared" si="9"/>
        <v>36</v>
      </c>
      <c r="J51" s="1">
        <f t="shared" si="9"/>
        <v>45</v>
      </c>
      <c r="K51" s="1">
        <f t="shared" si="9"/>
        <v>54</v>
      </c>
      <c r="L51" s="1">
        <f t="shared" si="9"/>
        <v>63</v>
      </c>
      <c r="M51" s="1">
        <f t="shared" si="9"/>
        <v>72</v>
      </c>
    </row>
    <row r="52" spans="1:13">
      <c r="A52" s="54">
        <v>95</v>
      </c>
      <c r="B52" s="1">
        <f t="shared" si="7"/>
        <v>9.5</v>
      </c>
      <c r="C52" s="1">
        <f t="shared" si="8"/>
        <v>11.4</v>
      </c>
      <c r="D52" s="1">
        <f t="shared" si="9"/>
        <v>13.3</v>
      </c>
      <c r="E52" s="1">
        <f t="shared" si="9"/>
        <v>15.2</v>
      </c>
      <c r="F52" s="1">
        <f t="shared" si="9"/>
        <v>17.100000000000001</v>
      </c>
      <c r="G52" s="1">
        <f t="shared" si="9"/>
        <v>19</v>
      </c>
      <c r="H52" s="1">
        <f t="shared" si="9"/>
        <v>28.5</v>
      </c>
      <c r="I52" s="1">
        <f t="shared" si="9"/>
        <v>38</v>
      </c>
      <c r="J52" s="1">
        <f t="shared" si="9"/>
        <v>47.5</v>
      </c>
      <c r="K52" s="1">
        <f t="shared" si="9"/>
        <v>57</v>
      </c>
      <c r="L52" s="1">
        <f t="shared" si="9"/>
        <v>66.5</v>
      </c>
      <c r="M52" s="1">
        <f t="shared" si="9"/>
        <v>76</v>
      </c>
    </row>
    <row r="53" spans="1:13">
      <c r="A53" s="54">
        <v>100</v>
      </c>
      <c r="B53" s="1">
        <f t="shared" si="7"/>
        <v>10</v>
      </c>
      <c r="C53" s="1">
        <f t="shared" si="8"/>
        <v>12</v>
      </c>
      <c r="D53" s="1">
        <f t="shared" si="9"/>
        <v>14</v>
      </c>
      <c r="E53" s="1">
        <f t="shared" si="9"/>
        <v>16</v>
      </c>
      <c r="F53" s="1">
        <f t="shared" si="9"/>
        <v>18</v>
      </c>
      <c r="G53" s="1">
        <f t="shared" si="9"/>
        <v>20</v>
      </c>
      <c r="H53" s="1">
        <f t="shared" si="9"/>
        <v>30</v>
      </c>
      <c r="I53" s="1">
        <f t="shared" si="9"/>
        <v>40</v>
      </c>
      <c r="J53" s="1">
        <f t="shared" si="9"/>
        <v>50</v>
      </c>
      <c r="K53" s="1">
        <f t="shared" si="9"/>
        <v>60</v>
      </c>
      <c r="L53" s="1">
        <f t="shared" si="9"/>
        <v>70</v>
      </c>
      <c r="M53" s="1">
        <f t="shared" si="9"/>
        <v>80</v>
      </c>
    </row>
    <row r="54" spans="1:13">
      <c r="A54" s="54">
        <v>105</v>
      </c>
      <c r="B54" s="1">
        <f t="shared" si="7"/>
        <v>10.5</v>
      </c>
      <c r="C54" s="1">
        <f t="shared" si="8"/>
        <v>12.6</v>
      </c>
      <c r="D54" s="1">
        <f t="shared" si="9"/>
        <v>14.7</v>
      </c>
      <c r="E54" s="1">
        <f t="shared" si="9"/>
        <v>16.8</v>
      </c>
      <c r="F54" s="1">
        <f t="shared" si="9"/>
        <v>18.899999999999999</v>
      </c>
      <c r="G54" s="1">
        <f t="shared" si="9"/>
        <v>21</v>
      </c>
      <c r="H54" s="1">
        <f t="shared" si="9"/>
        <v>31.5</v>
      </c>
      <c r="I54" s="1">
        <f t="shared" si="9"/>
        <v>42</v>
      </c>
      <c r="J54" s="1">
        <f t="shared" si="9"/>
        <v>52.5</v>
      </c>
      <c r="K54" s="1">
        <f t="shared" si="9"/>
        <v>63</v>
      </c>
      <c r="L54" s="1">
        <f t="shared" si="9"/>
        <v>73.5</v>
      </c>
      <c r="M54" s="1">
        <f t="shared" si="9"/>
        <v>84</v>
      </c>
    </row>
    <row r="55" spans="1:13">
      <c r="A55" s="54">
        <v>110</v>
      </c>
      <c r="B55" s="1">
        <f t="shared" si="7"/>
        <v>11</v>
      </c>
      <c r="C55" s="1">
        <f t="shared" si="8"/>
        <v>13.2</v>
      </c>
      <c r="D55" s="1">
        <f t="shared" si="9"/>
        <v>15.4</v>
      </c>
      <c r="E55" s="1">
        <f t="shared" si="9"/>
        <v>17.600000000000001</v>
      </c>
      <c r="F55" s="1">
        <f t="shared" si="9"/>
        <v>19.8</v>
      </c>
      <c r="G55" s="1">
        <f t="shared" si="9"/>
        <v>22</v>
      </c>
      <c r="H55" s="1">
        <f t="shared" si="9"/>
        <v>33</v>
      </c>
      <c r="I55" s="1">
        <f t="shared" si="9"/>
        <v>44</v>
      </c>
      <c r="J55" s="1">
        <f t="shared" si="9"/>
        <v>55</v>
      </c>
      <c r="K55" s="1">
        <f t="shared" si="9"/>
        <v>66</v>
      </c>
      <c r="L55" s="1">
        <f t="shared" si="9"/>
        <v>77</v>
      </c>
      <c r="M55" s="1">
        <f t="shared" si="9"/>
        <v>88</v>
      </c>
    </row>
    <row r="56" spans="1:13">
      <c r="A56" s="54">
        <v>115</v>
      </c>
      <c r="B56" s="1">
        <f t="shared" si="7"/>
        <v>11.5</v>
      </c>
      <c r="C56" s="1">
        <f t="shared" si="8"/>
        <v>13.8</v>
      </c>
      <c r="D56" s="1">
        <f t="shared" si="9"/>
        <v>16.100000000000001</v>
      </c>
      <c r="E56" s="1">
        <f t="shared" si="9"/>
        <v>18.399999999999999</v>
      </c>
      <c r="F56" s="1">
        <f t="shared" si="9"/>
        <v>20.7</v>
      </c>
      <c r="G56" s="1">
        <f t="shared" si="9"/>
        <v>23</v>
      </c>
      <c r="H56" s="1">
        <f t="shared" si="9"/>
        <v>34.5</v>
      </c>
      <c r="I56" s="1">
        <f t="shared" si="9"/>
        <v>46</v>
      </c>
      <c r="J56" s="1">
        <f t="shared" si="9"/>
        <v>57.5</v>
      </c>
      <c r="K56" s="1">
        <f t="shared" si="9"/>
        <v>69</v>
      </c>
      <c r="L56" s="1">
        <f t="shared" si="9"/>
        <v>80.5</v>
      </c>
      <c r="M56" s="1">
        <f t="shared" si="9"/>
        <v>92</v>
      </c>
    </row>
    <row r="57" spans="1:13">
      <c r="A57" s="54">
        <v>120</v>
      </c>
      <c r="B57" s="1">
        <f t="shared" si="7"/>
        <v>12</v>
      </c>
      <c r="C57" s="1">
        <f t="shared" si="8"/>
        <v>14.4</v>
      </c>
      <c r="D57" s="1">
        <f t="shared" si="9"/>
        <v>16.8</v>
      </c>
      <c r="E57" s="1">
        <f t="shared" si="9"/>
        <v>19.2</v>
      </c>
      <c r="F57" s="1">
        <f t="shared" si="9"/>
        <v>21.6</v>
      </c>
      <c r="G57" s="1">
        <f t="shared" si="9"/>
        <v>24</v>
      </c>
      <c r="H57" s="1">
        <f t="shared" si="9"/>
        <v>36</v>
      </c>
      <c r="I57" s="1">
        <f t="shared" si="9"/>
        <v>48</v>
      </c>
      <c r="J57" s="1">
        <f t="shared" si="9"/>
        <v>60</v>
      </c>
      <c r="K57" s="1">
        <f t="shared" si="9"/>
        <v>72</v>
      </c>
      <c r="L57" s="1">
        <f t="shared" si="9"/>
        <v>84</v>
      </c>
      <c r="M57" s="1">
        <f t="shared" si="9"/>
        <v>96</v>
      </c>
    </row>
    <row r="58" spans="1:13">
      <c r="A58" s="107" t="s">
        <v>26</v>
      </c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</row>
    <row r="59" spans="1:13">
      <c r="A59" s="51" t="s">
        <v>36</v>
      </c>
      <c r="B59" s="52">
        <v>5</v>
      </c>
      <c r="C59" s="52">
        <v>6</v>
      </c>
      <c r="D59" s="52">
        <v>7</v>
      </c>
      <c r="E59" s="52">
        <v>8</v>
      </c>
      <c r="F59" s="52">
        <v>9</v>
      </c>
      <c r="G59" s="52">
        <v>10</v>
      </c>
      <c r="H59" s="52">
        <v>15</v>
      </c>
      <c r="I59" s="52">
        <v>20</v>
      </c>
      <c r="J59" s="52">
        <v>25</v>
      </c>
      <c r="K59" s="52">
        <v>30</v>
      </c>
      <c r="L59" s="52">
        <v>35</v>
      </c>
      <c r="M59" s="52">
        <v>40</v>
      </c>
    </row>
    <row r="60" spans="1:13">
      <c r="A60" s="52">
        <v>50</v>
      </c>
      <c r="B60" s="1">
        <f t="shared" ref="B60:B74" si="10">(B$8*A60)*60/4000</f>
        <v>3.75</v>
      </c>
      <c r="C60" s="1">
        <f t="shared" ref="C60:C74" si="11">(C$8*A60)*60/4000</f>
        <v>4.5</v>
      </c>
      <c r="D60" s="1">
        <f t="shared" ref="D60:M74" si="12">(D$8*$A60)*60/4000</f>
        <v>5.25</v>
      </c>
      <c r="E60" s="1">
        <f t="shared" si="12"/>
        <v>6</v>
      </c>
      <c r="F60" s="1">
        <f t="shared" si="12"/>
        <v>6.75</v>
      </c>
      <c r="G60" s="1">
        <f t="shared" si="12"/>
        <v>7.5</v>
      </c>
      <c r="H60" s="1">
        <f t="shared" si="12"/>
        <v>11.25</v>
      </c>
      <c r="I60" s="1">
        <f t="shared" si="12"/>
        <v>15</v>
      </c>
      <c r="J60" s="1">
        <f t="shared" si="12"/>
        <v>18.75</v>
      </c>
      <c r="K60" s="1">
        <f t="shared" si="12"/>
        <v>22.5</v>
      </c>
      <c r="L60" s="1">
        <f t="shared" si="12"/>
        <v>26.25</v>
      </c>
      <c r="M60" s="1">
        <f t="shared" si="12"/>
        <v>30</v>
      </c>
    </row>
    <row r="61" spans="1:13">
      <c r="A61" s="52">
        <v>55</v>
      </c>
      <c r="B61" s="1">
        <f t="shared" si="10"/>
        <v>4.125</v>
      </c>
      <c r="C61" s="1">
        <f t="shared" si="11"/>
        <v>4.95</v>
      </c>
      <c r="D61" s="1">
        <f t="shared" si="12"/>
        <v>5.7750000000000004</v>
      </c>
      <c r="E61" s="1">
        <f t="shared" si="12"/>
        <v>6.6</v>
      </c>
      <c r="F61" s="1">
        <f t="shared" si="12"/>
        <v>7.4249999999999998</v>
      </c>
      <c r="G61" s="1">
        <f t="shared" si="12"/>
        <v>8.25</v>
      </c>
      <c r="H61" s="1">
        <f t="shared" si="12"/>
        <v>12.375</v>
      </c>
      <c r="I61" s="1">
        <f t="shared" si="12"/>
        <v>16.5</v>
      </c>
      <c r="J61" s="1">
        <f t="shared" si="12"/>
        <v>20.625</v>
      </c>
      <c r="K61" s="1">
        <f t="shared" si="12"/>
        <v>24.75</v>
      </c>
      <c r="L61" s="1">
        <f t="shared" si="12"/>
        <v>28.875</v>
      </c>
      <c r="M61" s="1">
        <f t="shared" si="12"/>
        <v>33</v>
      </c>
    </row>
    <row r="62" spans="1:13">
      <c r="A62" s="52">
        <v>60</v>
      </c>
      <c r="B62" s="1">
        <f t="shared" si="10"/>
        <v>4.5</v>
      </c>
      <c r="C62" s="1">
        <f t="shared" si="11"/>
        <v>5.4</v>
      </c>
      <c r="D62" s="1">
        <f t="shared" si="12"/>
        <v>6.3</v>
      </c>
      <c r="E62" s="1">
        <f t="shared" si="12"/>
        <v>7.2</v>
      </c>
      <c r="F62" s="1">
        <f t="shared" si="12"/>
        <v>8.1</v>
      </c>
      <c r="G62" s="1">
        <f t="shared" si="12"/>
        <v>9</v>
      </c>
      <c r="H62" s="1">
        <f t="shared" si="12"/>
        <v>13.5</v>
      </c>
      <c r="I62" s="1">
        <f t="shared" si="12"/>
        <v>18</v>
      </c>
      <c r="J62" s="1">
        <f t="shared" si="12"/>
        <v>22.5</v>
      </c>
      <c r="K62" s="1">
        <f t="shared" si="12"/>
        <v>27</v>
      </c>
      <c r="L62" s="1">
        <f t="shared" si="12"/>
        <v>31.5</v>
      </c>
      <c r="M62" s="1">
        <f t="shared" si="12"/>
        <v>36</v>
      </c>
    </row>
    <row r="63" spans="1:13">
      <c r="A63" s="52">
        <v>65</v>
      </c>
      <c r="B63" s="1">
        <f t="shared" si="10"/>
        <v>4.875</v>
      </c>
      <c r="C63" s="1">
        <f t="shared" si="11"/>
        <v>5.85</v>
      </c>
      <c r="D63" s="1">
        <f t="shared" si="12"/>
        <v>6.8250000000000002</v>
      </c>
      <c r="E63" s="1">
        <f t="shared" si="12"/>
        <v>7.8</v>
      </c>
      <c r="F63" s="1">
        <f t="shared" si="12"/>
        <v>8.7750000000000004</v>
      </c>
      <c r="G63" s="1">
        <f t="shared" si="12"/>
        <v>9.75</v>
      </c>
      <c r="H63" s="1">
        <f t="shared" si="12"/>
        <v>14.625</v>
      </c>
      <c r="I63" s="1">
        <f t="shared" si="12"/>
        <v>19.5</v>
      </c>
      <c r="J63" s="1">
        <f t="shared" si="12"/>
        <v>24.375</v>
      </c>
      <c r="K63" s="1">
        <f t="shared" si="12"/>
        <v>29.25</v>
      </c>
      <c r="L63" s="1">
        <f t="shared" si="12"/>
        <v>34.125</v>
      </c>
      <c r="M63" s="1">
        <f t="shared" si="12"/>
        <v>39</v>
      </c>
    </row>
    <row r="64" spans="1:13">
      <c r="A64" s="52">
        <v>70</v>
      </c>
      <c r="B64" s="1">
        <f t="shared" si="10"/>
        <v>5.25</v>
      </c>
      <c r="C64" s="1">
        <f t="shared" si="11"/>
        <v>6.3</v>
      </c>
      <c r="D64" s="1">
        <f t="shared" si="12"/>
        <v>7.35</v>
      </c>
      <c r="E64" s="1">
        <f t="shared" si="12"/>
        <v>8.4</v>
      </c>
      <c r="F64" s="1">
        <f t="shared" si="12"/>
        <v>9.4499999999999993</v>
      </c>
      <c r="G64" s="1">
        <f t="shared" si="12"/>
        <v>10.5</v>
      </c>
      <c r="H64" s="1">
        <f t="shared" si="12"/>
        <v>15.75</v>
      </c>
      <c r="I64" s="1">
        <f t="shared" si="12"/>
        <v>21</v>
      </c>
      <c r="J64" s="1">
        <f t="shared" si="12"/>
        <v>26.25</v>
      </c>
      <c r="K64" s="1">
        <f t="shared" si="12"/>
        <v>31.5</v>
      </c>
      <c r="L64" s="1">
        <f t="shared" si="12"/>
        <v>36.75</v>
      </c>
      <c r="M64" s="1">
        <f t="shared" si="12"/>
        <v>42</v>
      </c>
    </row>
    <row r="65" spans="1:13">
      <c r="A65" s="52">
        <v>75</v>
      </c>
      <c r="B65" s="1">
        <f t="shared" si="10"/>
        <v>5.625</v>
      </c>
      <c r="C65" s="1">
        <f t="shared" si="11"/>
        <v>6.75</v>
      </c>
      <c r="D65" s="1">
        <f t="shared" si="12"/>
        <v>7.875</v>
      </c>
      <c r="E65" s="1">
        <f t="shared" si="12"/>
        <v>9</v>
      </c>
      <c r="F65" s="1">
        <f t="shared" si="12"/>
        <v>10.125</v>
      </c>
      <c r="G65" s="1">
        <f t="shared" si="12"/>
        <v>11.25</v>
      </c>
      <c r="H65" s="1">
        <f t="shared" si="12"/>
        <v>16.875</v>
      </c>
      <c r="I65" s="1">
        <f t="shared" si="12"/>
        <v>22.5</v>
      </c>
      <c r="J65" s="1">
        <f t="shared" si="12"/>
        <v>28.125</v>
      </c>
      <c r="K65" s="1">
        <f t="shared" si="12"/>
        <v>33.75</v>
      </c>
      <c r="L65" s="1">
        <f t="shared" si="12"/>
        <v>39.375</v>
      </c>
      <c r="M65" s="1">
        <f t="shared" si="12"/>
        <v>45</v>
      </c>
    </row>
    <row r="66" spans="1:13">
      <c r="A66" s="52">
        <v>80</v>
      </c>
      <c r="B66" s="1">
        <f t="shared" si="10"/>
        <v>6</v>
      </c>
      <c r="C66" s="1">
        <f t="shared" si="11"/>
        <v>7.2</v>
      </c>
      <c r="D66" s="1">
        <f t="shared" si="12"/>
        <v>8.4</v>
      </c>
      <c r="E66" s="1">
        <f t="shared" si="12"/>
        <v>9.6</v>
      </c>
      <c r="F66" s="1">
        <f t="shared" si="12"/>
        <v>10.8</v>
      </c>
      <c r="G66" s="1">
        <f t="shared" si="12"/>
        <v>12</v>
      </c>
      <c r="H66" s="1">
        <f t="shared" si="12"/>
        <v>18</v>
      </c>
      <c r="I66" s="1">
        <f t="shared" si="12"/>
        <v>24</v>
      </c>
      <c r="J66" s="1">
        <f t="shared" si="12"/>
        <v>30</v>
      </c>
      <c r="K66" s="1">
        <f t="shared" si="12"/>
        <v>36</v>
      </c>
      <c r="L66" s="1">
        <f t="shared" si="12"/>
        <v>42</v>
      </c>
      <c r="M66" s="1">
        <f t="shared" si="12"/>
        <v>48</v>
      </c>
    </row>
    <row r="67" spans="1:13">
      <c r="A67" s="52">
        <v>85</v>
      </c>
      <c r="B67" s="1">
        <f t="shared" si="10"/>
        <v>6.375</v>
      </c>
      <c r="C67" s="1">
        <f t="shared" si="11"/>
        <v>7.65</v>
      </c>
      <c r="D67" s="1">
        <f t="shared" si="12"/>
        <v>8.9250000000000007</v>
      </c>
      <c r="E67" s="1">
        <f t="shared" si="12"/>
        <v>10.199999999999999</v>
      </c>
      <c r="F67" s="1">
        <f t="shared" si="12"/>
        <v>11.475</v>
      </c>
      <c r="G67" s="1">
        <f t="shared" si="12"/>
        <v>12.75</v>
      </c>
      <c r="H67" s="1">
        <f t="shared" si="12"/>
        <v>19.125</v>
      </c>
      <c r="I67" s="1">
        <f t="shared" si="12"/>
        <v>25.5</v>
      </c>
      <c r="J67" s="1">
        <f t="shared" si="12"/>
        <v>31.875</v>
      </c>
      <c r="K67" s="1">
        <f t="shared" si="12"/>
        <v>38.25</v>
      </c>
      <c r="L67" s="1">
        <f t="shared" si="12"/>
        <v>44.625</v>
      </c>
      <c r="M67" s="1">
        <f t="shared" si="12"/>
        <v>51</v>
      </c>
    </row>
    <row r="68" spans="1:13">
      <c r="A68" s="52">
        <v>90</v>
      </c>
      <c r="B68" s="1">
        <f t="shared" si="10"/>
        <v>6.75</v>
      </c>
      <c r="C68" s="1">
        <f t="shared" si="11"/>
        <v>8.1</v>
      </c>
      <c r="D68" s="1">
        <f t="shared" si="12"/>
        <v>9.4499999999999993</v>
      </c>
      <c r="E68" s="1">
        <f t="shared" si="12"/>
        <v>10.8</v>
      </c>
      <c r="F68" s="1">
        <f t="shared" si="12"/>
        <v>12.15</v>
      </c>
      <c r="G68" s="1">
        <f t="shared" si="12"/>
        <v>13.5</v>
      </c>
      <c r="H68" s="1">
        <f t="shared" si="12"/>
        <v>20.25</v>
      </c>
      <c r="I68" s="1">
        <f t="shared" si="12"/>
        <v>27</v>
      </c>
      <c r="J68" s="1">
        <f t="shared" si="12"/>
        <v>33.75</v>
      </c>
      <c r="K68" s="1">
        <f t="shared" si="12"/>
        <v>40.5</v>
      </c>
      <c r="L68" s="1">
        <f t="shared" si="12"/>
        <v>47.25</v>
      </c>
      <c r="M68" s="1">
        <f t="shared" si="12"/>
        <v>54</v>
      </c>
    </row>
    <row r="69" spans="1:13">
      <c r="A69" s="52">
        <v>95</v>
      </c>
      <c r="B69" s="1">
        <f t="shared" si="10"/>
        <v>7.125</v>
      </c>
      <c r="C69" s="1">
        <f t="shared" si="11"/>
        <v>8.5500000000000007</v>
      </c>
      <c r="D69" s="1">
        <f t="shared" si="12"/>
        <v>9.9749999999999996</v>
      </c>
      <c r="E69" s="1">
        <f t="shared" si="12"/>
        <v>11.4</v>
      </c>
      <c r="F69" s="1">
        <f t="shared" si="12"/>
        <v>12.824999999999999</v>
      </c>
      <c r="G69" s="1">
        <f t="shared" si="12"/>
        <v>14.25</v>
      </c>
      <c r="H69" s="1">
        <f t="shared" si="12"/>
        <v>21.375</v>
      </c>
      <c r="I69" s="1">
        <f t="shared" si="12"/>
        <v>28.5</v>
      </c>
      <c r="J69" s="1">
        <f t="shared" si="12"/>
        <v>35.625</v>
      </c>
      <c r="K69" s="1">
        <f t="shared" si="12"/>
        <v>42.75</v>
      </c>
      <c r="L69" s="1">
        <f t="shared" si="12"/>
        <v>49.875</v>
      </c>
      <c r="M69" s="1">
        <f t="shared" si="12"/>
        <v>57</v>
      </c>
    </row>
    <row r="70" spans="1:13">
      <c r="A70" s="52">
        <v>100</v>
      </c>
      <c r="B70" s="1">
        <f t="shared" si="10"/>
        <v>7.5</v>
      </c>
      <c r="C70" s="1">
        <f t="shared" si="11"/>
        <v>9</v>
      </c>
      <c r="D70" s="1">
        <f t="shared" si="12"/>
        <v>10.5</v>
      </c>
      <c r="E70" s="1">
        <f t="shared" si="12"/>
        <v>12</v>
      </c>
      <c r="F70" s="1">
        <f t="shared" si="12"/>
        <v>13.5</v>
      </c>
      <c r="G70" s="1">
        <f t="shared" si="12"/>
        <v>15</v>
      </c>
      <c r="H70" s="1">
        <f t="shared" si="12"/>
        <v>22.5</v>
      </c>
      <c r="I70" s="1">
        <f t="shared" si="12"/>
        <v>30</v>
      </c>
      <c r="J70" s="1">
        <f t="shared" si="12"/>
        <v>37.5</v>
      </c>
      <c r="K70" s="1">
        <f t="shared" si="12"/>
        <v>45</v>
      </c>
      <c r="L70" s="1">
        <f t="shared" si="12"/>
        <v>52.5</v>
      </c>
      <c r="M70" s="1">
        <f t="shared" si="12"/>
        <v>60</v>
      </c>
    </row>
    <row r="71" spans="1:13">
      <c r="A71" s="52">
        <v>105</v>
      </c>
      <c r="B71" s="1">
        <f t="shared" si="10"/>
        <v>7.875</v>
      </c>
      <c r="C71" s="1">
        <f t="shared" si="11"/>
        <v>9.4499999999999993</v>
      </c>
      <c r="D71" s="1">
        <f t="shared" si="12"/>
        <v>11.025</v>
      </c>
      <c r="E71" s="1">
        <f t="shared" si="12"/>
        <v>12.6</v>
      </c>
      <c r="F71" s="1">
        <f t="shared" si="12"/>
        <v>14.175000000000001</v>
      </c>
      <c r="G71" s="1">
        <f t="shared" si="12"/>
        <v>15.75</v>
      </c>
      <c r="H71" s="1">
        <f t="shared" si="12"/>
        <v>23.625</v>
      </c>
      <c r="I71" s="1">
        <f t="shared" si="12"/>
        <v>31.5</v>
      </c>
      <c r="J71" s="1">
        <f t="shared" si="12"/>
        <v>39.375</v>
      </c>
      <c r="K71" s="1">
        <f t="shared" si="12"/>
        <v>47.25</v>
      </c>
      <c r="L71" s="1">
        <f t="shared" si="12"/>
        <v>55.125</v>
      </c>
      <c r="M71" s="1">
        <f t="shared" si="12"/>
        <v>63</v>
      </c>
    </row>
    <row r="72" spans="1:13">
      <c r="A72" s="52">
        <v>110</v>
      </c>
      <c r="B72" s="1">
        <f t="shared" si="10"/>
        <v>8.25</v>
      </c>
      <c r="C72" s="1">
        <f t="shared" si="11"/>
        <v>9.9</v>
      </c>
      <c r="D72" s="1">
        <f t="shared" si="12"/>
        <v>11.55</v>
      </c>
      <c r="E72" s="1">
        <f t="shared" si="12"/>
        <v>13.2</v>
      </c>
      <c r="F72" s="1">
        <f t="shared" si="12"/>
        <v>14.85</v>
      </c>
      <c r="G72" s="1">
        <f t="shared" si="12"/>
        <v>16.5</v>
      </c>
      <c r="H72" s="1">
        <f t="shared" si="12"/>
        <v>24.75</v>
      </c>
      <c r="I72" s="1">
        <f t="shared" si="12"/>
        <v>33</v>
      </c>
      <c r="J72" s="1">
        <f t="shared" si="12"/>
        <v>41.25</v>
      </c>
      <c r="K72" s="1">
        <f t="shared" si="12"/>
        <v>49.5</v>
      </c>
      <c r="L72" s="1">
        <f t="shared" si="12"/>
        <v>57.75</v>
      </c>
      <c r="M72" s="1">
        <f t="shared" si="12"/>
        <v>66</v>
      </c>
    </row>
    <row r="73" spans="1:13">
      <c r="A73" s="52">
        <v>115</v>
      </c>
      <c r="B73" s="1">
        <f t="shared" si="10"/>
        <v>8.625</v>
      </c>
      <c r="C73" s="1">
        <f t="shared" si="11"/>
        <v>10.35</v>
      </c>
      <c r="D73" s="1">
        <f t="shared" si="12"/>
        <v>12.074999999999999</v>
      </c>
      <c r="E73" s="1">
        <f t="shared" si="12"/>
        <v>13.8</v>
      </c>
      <c r="F73" s="1">
        <f t="shared" si="12"/>
        <v>15.525</v>
      </c>
      <c r="G73" s="1">
        <f t="shared" si="12"/>
        <v>17.25</v>
      </c>
      <c r="H73" s="1">
        <f t="shared" si="12"/>
        <v>25.875</v>
      </c>
      <c r="I73" s="1">
        <f t="shared" si="12"/>
        <v>34.5</v>
      </c>
      <c r="J73" s="1">
        <f t="shared" si="12"/>
        <v>43.125</v>
      </c>
      <c r="K73" s="1">
        <f t="shared" si="12"/>
        <v>51.75</v>
      </c>
      <c r="L73" s="1">
        <f t="shared" si="12"/>
        <v>60.375</v>
      </c>
      <c r="M73" s="1">
        <f t="shared" si="12"/>
        <v>69</v>
      </c>
    </row>
    <row r="74" spans="1:13">
      <c r="A74" s="52">
        <v>120</v>
      </c>
      <c r="B74" s="1">
        <f t="shared" si="10"/>
        <v>9</v>
      </c>
      <c r="C74" s="1">
        <f t="shared" si="11"/>
        <v>10.8</v>
      </c>
      <c r="D74" s="1">
        <f t="shared" si="12"/>
        <v>12.6</v>
      </c>
      <c r="E74" s="1">
        <f t="shared" si="12"/>
        <v>14.4</v>
      </c>
      <c r="F74" s="1">
        <f t="shared" si="12"/>
        <v>16.2</v>
      </c>
      <c r="G74" s="1">
        <f t="shared" si="12"/>
        <v>18</v>
      </c>
      <c r="H74" s="1">
        <f t="shared" si="12"/>
        <v>27</v>
      </c>
      <c r="I74" s="1">
        <f t="shared" si="12"/>
        <v>36</v>
      </c>
      <c r="J74" s="1">
        <f t="shared" si="12"/>
        <v>45</v>
      </c>
      <c r="K74" s="1">
        <f t="shared" si="12"/>
        <v>54</v>
      </c>
      <c r="L74" s="1">
        <f t="shared" si="12"/>
        <v>63</v>
      </c>
      <c r="M74" s="1">
        <f t="shared" si="12"/>
        <v>72</v>
      </c>
    </row>
    <row r="76" spans="1:13">
      <c r="G76" s="117" t="s">
        <v>37</v>
      </c>
      <c r="H76" s="117"/>
      <c r="I76" s="117"/>
    </row>
    <row r="77" spans="1:13">
      <c r="A77" s="107" t="s">
        <v>31</v>
      </c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</row>
    <row r="78" spans="1:13">
      <c r="A78" s="49" t="s">
        <v>36</v>
      </c>
      <c r="B78" s="50">
        <v>5</v>
      </c>
      <c r="C78" s="50">
        <v>6</v>
      </c>
      <c r="D78" s="50">
        <v>7</v>
      </c>
      <c r="E78" s="50">
        <v>8</v>
      </c>
      <c r="F78" s="50">
        <v>9</v>
      </c>
      <c r="G78" s="50">
        <v>10</v>
      </c>
      <c r="H78" s="50">
        <v>15</v>
      </c>
      <c r="I78" s="50">
        <v>20</v>
      </c>
      <c r="J78" s="50">
        <v>25</v>
      </c>
      <c r="K78" s="50">
        <v>30</v>
      </c>
      <c r="L78" s="50">
        <v>35</v>
      </c>
      <c r="M78" s="50">
        <v>40</v>
      </c>
    </row>
    <row r="79" spans="1:13">
      <c r="A79" s="50">
        <v>50</v>
      </c>
      <c r="B79" s="1">
        <f t="shared" ref="B79:B93" si="13">(B$8*A79)*60/12500</f>
        <v>1.2</v>
      </c>
      <c r="C79" s="1">
        <f t="shared" ref="C79:C93" si="14">(C$8*A79)*60/12500</f>
        <v>1.44</v>
      </c>
      <c r="D79" s="1">
        <f t="shared" ref="D79:M93" si="15">(D$8*$A79)*60/12500</f>
        <v>1.68</v>
      </c>
      <c r="E79" s="1">
        <f t="shared" si="15"/>
        <v>1.92</v>
      </c>
      <c r="F79" s="1">
        <f t="shared" si="15"/>
        <v>2.16</v>
      </c>
      <c r="G79" s="1">
        <f t="shared" si="15"/>
        <v>2.4</v>
      </c>
      <c r="H79" s="1">
        <f t="shared" si="15"/>
        <v>3.6</v>
      </c>
      <c r="I79" s="1">
        <f t="shared" si="15"/>
        <v>4.8</v>
      </c>
      <c r="J79" s="1">
        <f t="shared" si="15"/>
        <v>6</v>
      </c>
      <c r="K79" s="1">
        <f t="shared" si="15"/>
        <v>7.2</v>
      </c>
      <c r="L79" s="1">
        <f t="shared" si="15"/>
        <v>8.4</v>
      </c>
      <c r="M79" s="1">
        <f t="shared" si="15"/>
        <v>9.6</v>
      </c>
    </row>
    <row r="80" spans="1:13">
      <c r="A80" s="50">
        <v>55</v>
      </c>
      <c r="B80" s="1">
        <f t="shared" si="13"/>
        <v>1.32</v>
      </c>
      <c r="C80" s="1">
        <f t="shared" si="14"/>
        <v>1.5840000000000001</v>
      </c>
      <c r="D80" s="1">
        <f t="shared" si="15"/>
        <v>1.8480000000000001</v>
      </c>
      <c r="E80" s="1">
        <f t="shared" si="15"/>
        <v>2.1120000000000001</v>
      </c>
      <c r="F80" s="1">
        <f t="shared" si="15"/>
        <v>2.3759999999999999</v>
      </c>
      <c r="G80" s="1">
        <f t="shared" si="15"/>
        <v>2.64</v>
      </c>
      <c r="H80" s="1">
        <f t="shared" si="15"/>
        <v>3.96</v>
      </c>
      <c r="I80" s="1">
        <f t="shared" si="15"/>
        <v>5.28</v>
      </c>
      <c r="J80" s="1">
        <f t="shared" si="15"/>
        <v>6.6</v>
      </c>
      <c r="K80" s="1">
        <f t="shared" si="15"/>
        <v>7.92</v>
      </c>
      <c r="L80" s="1">
        <f t="shared" si="15"/>
        <v>9.24</v>
      </c>
      <c r="M80" s="1">
        <f t="shared" si="15"/>
        <v>10.56</v>
      </c>
    </row>
    <row r="81" spans="1:13">
      <c r="A81" s="50">
        <v>60</v>
      </c>
      <c r="B81" s="1">
        <f t="shared" si="13"/>
        <v>1.44</v>
      </c>
      <c r="C81" s="1">
        <f t="shared" si="14"/>
        <v>1.728</v>
      </c>
      <c r="D81" s="1">
        <f t="shared" si="15"/>
        <v>2.016</v>
      </c>
      <c r="E81" s="1">
        <f t="shared" si="15"/>
        <v>2.3039999999999998</v>
      </c>
      <c r="F81" s="1">
        <f t="shared" si="15"/>
        <v>2.5920000000000001</v>
      </c>
      <c r="G81" s="1">
        <f t="shared" si="15"/>
        <v>2.88</v>
      </c>
      <c r="H81" s="1">
        <f t="shared" si="15"/>
        <v>4.32</v>
      </c>
      <c r="I81" s="1">
        <f t="shared" si="15"/>
        <v>5.76</v>
      </c>
      <c r="J81" s="1">
        <f t="shared" si="15"/>
        <v>7.2</v>
      </c>
      <c r="K81" s="1">
        <f t="shared" si="15"/>
        <v>8.64</v>
      </c>
      <c r="L81" s="1">
        <f t="shared" si="15"/>
        <v>10.08</v>
      </c>
      <c r="M81" s="1">
        <f t="shared" si="15"/>
        <v>11.52</v>
      </c>
    </row>
    <row r="82" spans="1:13">
      <c r="A82" s="50">
        <v>65</v>
      </c>
      <c r="B82" s="1">
        <f t="shared" si="13"/>
        <v>1.56</v>
      </c>
      <c r="C82" s="1">
        <f t="shared" si="14"/>
        <v>1.8720000000000001</v>
      </c>
      <c r="D82" s="1">
        <f t="shared" si="15"/>
        <v>2.1840000000000002</v>
      </c>
      <c r="E82" s="1">
        <f t="shared" si="15"/>
        <v>2.496</v>
      </c>
      <c r="F82" s="1">
        <f t="shared" si="15"/>
        <v>2.8079999999999998</v>
      </c>
      <c r="G82" s="1">
        <f t="shared" si="15"/>
        <v>3.12</v>
      </c>
      <c r="H82" s="1">
        <f t="shared" si="15"/>
        <v>4.68</v>
      </c>
      <c r="I82" s="1">
        <f t="shared" si="15"/>
        <v>6.24</v>
      </c>
      <c r="J82" s="1">
        <f t="shared" si="15"/>
        <v>7.8</v>
      </c>
      <c r="K82" s="1">
        <f t="shared" si="15"/>
        <v>9.36</v>
      </c>
      <c r="L82" s="1">
        <f t="shared" si="15"/>
        <v>10.92</v>
      </c>
      <c r="M82" s="1">
        <f t="shared" si="15"/>
        <v>12.48</v>
      </c>
    </row>
    <row r="83" spans="1:13">
      <c r="A83" s="50">
        <v>70</v>
      </c>
      <c r="B83" s="1">
        <f t="shared" si="13"/>
        <v>1.68</v>
      </c>
      <c r="C83" s="1">
        <f t="shared" si="14"/>
        <v>2.016</v>
      </c>
      <c r="D83" s="1">
        <f t="shared" si="15"/>
        <v>2.3519999999999999</v>
      </c>
      <c r="E83" s="1">
        <f t="shared" si="15"/>
        <v>2.6880000000000002</v>
      </c>
      <c r="F83" s="1">
        <f t="shared" si="15"/>
        <v>3.024</v>
      </c>
      <c r="G83" s="1">
        <f t="shared" si="15"/>
        <v>3.36</v>
      </c>
      <c r="H83" s="1">
        <f t="shared" si="15"/>
        <v>5.04</v>
      </c>
      <c r="I83" s="1">
        <f t="shared" si="15"/>
        <v>6.72</v>
      </c>
      <c r="J83" s="1">
        <f t="shared" si="15"/>
        <v>8.4</v>
      </c>
      <c r="K83" s="1">
        <f t="shared" si="15"/>
        <v>10.08</v>
      </c>
      <c r="L83" s="1">
        <f t="shared" si="15"/>
        <v>11.76</v>
      </c>
      <c r="M83" s="1">
        <f t="shared" si="15"/>
        <v>13.44</v>
      </c>
    </row>
    <row r="84" spans="1:13">
      <c r="A84" s="50">
        <v>75</v>
      </c>
      <c r="B84" s="1">
        <f t="shared" si="13"/>
        <v>1.8</v>
      </c>
      <c r="C84" s="1">
        <f t="shared" si="14"/>
        <v>2.16</v>
      </c>
      <c r="D84" s="1">
        <f t="shared" si="15"/>
        <v>2.52</v>
      </c>
      <c r="E84" s="1">
        <f t="shared" si="15"/>
        <v>2.88</v>
      </c>
      <c r="F84" s="1">
        <f t="shared" si="15"/>
        <v>3.24</v>
      </c>
      <c r="G84" s="1">
        <f t="shared" si="15"/>
        <v>3.6</v>
      </c>
      <c r="H84" s="1">
        <f t="shared" si="15"/>
        <v>5.4</v>
      </c>
      <c r="I84" s="1">
        <f t="shared" si="15"/>
        <v>7.2</v>
      </c>
      <c r="J84" s="1">
        <f t="shared" si="15"/>
        <v>9</v>
      </c>
      <c r="K84" s="1">
        <f t="shared" si="15"/>
        <v>10.8</v>
      </c>
      <c r="L84" s="1">
        <f t="shared" si="15"/>
        <v>12.6</v>
      </c>
      <c r="M84" s="1">
        <f t="shared" si="15"/>
        <v>14.4</v>
      </c>
    </row>
    <row r="85" spans="1:13">
      <c r="A85" s="50">
        <v>80</v>
      </c>
      <c r="B85" s="1">
        <f t="shared" si="13"/>
        <v>1.92</v>
      </c>
      <c r="C85" s="1">
        <f t="shared" si="14"/>
        <v>2.3039999999999998</v>
      </c>
      <c r="D85" s="1">
        <f t="shared" si="15"/>
        <v>2.6880000000000002</v>
      </c>
      <c r="E85" s="1">
        <f t="shared" si="15"/>
        <v>3.0720000000000001</v>
      </c>
      <c r="F85" s="1">
        <f t="shared" si="15"/>
        <v>3.456</v>
      </c>
      <c r="G85" s="1">
        <f t="shared" si="15"/>
        <v>3.84</v>
      </c>
      <c r="H85" s="1">
        <f t="shared" si="15"/>
        <v>5.76</v>
      </c>
      <c r="I85" s="1">
        <f t="shared" si="15"/>
        <v>7.68</v>
      </c>
      <c r="J85" s="1">
        <f t="shared" si="15"/>
        <v>9.6</v>
      </c>
      <c r="K85" s="1">
        <f t="shared" si="15"/>
        <v>11.52</v>
      </c>
      <c r="L85" s="1">
        <f t="shared" si="15"/>
        <v>13.44</v>
      </c>
      <c r="M85" s="1">
        <f t="shared" si="15"/>
        <v>15.36</v>
      </c>
    </row>
    <row r="86" spans="1:13">
      <c r="A86" s="50">
        <v>85</v>
      </c>
      <c r="B86" s="1">
        <f t="shared" si="13"/>
        <v>2.04</v>
      </c>
      <c r="C86" s="1">
        <f t="shared" si="14"/>
        <v>2.448</v>
      </c>
      <c r="D86" s="1">
        <f t="shared" si="15"/>
        <v>2.8559999999999999</v>
      </c>
      <c r="E86" s="1">
        <f t="shared" si="15"/>
        <v>3.2639999999999998</v>
      </c>
      <c r="F86" s="1">
        <f t="shared" si="15"/>
        <v>3.6720000000000002</v>
      </c>
      <c r="G86" s="1">
        <f t="shared" si="15"/>
        <v>4.08</v>
      </c>
      <c r="H86" s="1">
        <f t="shared" si="15"/>
        <v>6.12</v>
      </c>
      <c r="I86" s="1">
        <f t="shared" si="15"/>
        <v>8.16</v>
      </c>
      <c r="J86" s="1">
        <f t="shared" si="15"/>
        <v>10.199999999999999</v>
      </c>
      <c r="K86" s="1">
        <f t="shared" si="15"/>
        <v>12.24</v>
      </c>
      <c r="L86" s="1">
        <f t="shared" si="15"/>
        <v>14.28</v>
      </c>
      <c r="M86" s="1">
        <f t="shared" si="15"/>
        <v>16.32</v>
      </c>
    </row>
    <row r="87" spans="1:13">
      <c r="A87" s="50">
        <v>90</v>
      </c>
      <c r="B87" s="1">
        <f t="shared" si="13"/>
        <v>2.16</v>
      </c>
      <c r="C87" s="1">
        <f t="shared" si="14"/>
        <v>2.5920000000000001</v>
      </c>
      <c r="D87" s="1">
        <f t="shared" si="15"/>
        <v>3.024</v>
      </c>
      <c r="E87" s="1">
        <f t="shared" si="15"/>
        <v>3.456</v>
      </c>
      <c r="F87" s="1">
        <f t="shared" si="15"/>
        <v>3.8879999999999999</v>
      </c>
      <c r="G87" s="1">
        <f t="shared" si="15"/>
        <v>4.32</v>
      </c>
      <c r="H87" s="1">
        <f t="shared" si="15"/>
        <v>6.48</v>
      </c>
      <c r="I87" s="1">
        <f t="shared" si="15"/>
        <v>8.64</v>
      </c>
      <c r="J87" s="1">
        <f t="shared" si="15"/>
        <v>10.8</v>
      </c>
      <c r="K87" s="1">
        <f t="shared" si="15"/>
        <v>12.96</v>
      </c>
      <c r="L87" s="1">
        <f t="shared" si="15"/>
        <v>15.12</v>
      </c>
      <c r="M87" s="1">
        <f t="shared" si="15"/>
        <v>17.28</v>
      </c>
    </row>
    <row r="88" spans="1:13">
      <c r="A88" s="50">
        <v>95</v>
      </c>
      <c r="B88" s="1">
        <f t="shared" si="13"/>
        <v>2.2799999999999998</v>
      </c>
      <c r="C88" s="1">
        <f t="shared" si="14"/>
        <v>2.7360000000000002</v>
      </c>
      <c r="D88" s="1">
        <f t="shared" si="15"/>
        <v>3.1920000000000002</v>
      </c>
      <c r="E88" s="1">
        <f t="shared" si="15"/>
        <v>3.6480000000000001</v>
      </c>
      <c r="F88" s="1">
        <f t="shared" si="15"/>
        <v>4.1040000000000001</v>
      </c>
      <c r="G88" s="1">
        <f t="shared" si="15"/>
        <v>4.5599999999999996</v>
      </c>
      <c r="H88" s="1">
        <f t="shared" si="15"/>
        <v>6.84</v>
      </c>
      <c r="I88" s="1">
        <f t="shared" si="15"/>
        <v>9.1199999999999992</v>
      </c>
      <c r="J88" s="1">
        <f t="shared" si="15"/>
        <v>11.4</v>
      </c>
      <c r="K88" s="1">
        <f t="shared" si="15"/>
        <v>13.68</v>
      </c>
      <c r="L88" s="1">
        <f t="shared" si="15"/>
        <v>15.96</v>
      </c>
      <c r="M88" s="1">
        <f t="shared" si="15"/>
        <v>18.239999999999998</v>
      </c>
    </row>
    <row r="89" spans="1:13">
      <c r="A89" s="50">
        <v>100</v>
      </c>
      <c r="B89" s="1">
        <f t="shared" si="13"/>
        <v>2.4</v>
      </c>
      <c r="C89" s="1">
        <f t="shared" si="14"/>
        <v>2.88</v>
      </c>
      <c r="D89" s="1">
        <f t="shared" si="15"/>
        <v>3.36</v>
      </c>
      <c r="E89" s="1">
        <f t="shared" si="15"/>
        <v>3.84</v>
      </c>
      <c r="F89" s="1">
        <f t="shared" si="15"/>
        <v>4.32</v>
      </c>
      <c r="G89" s="1">
        <f t="shared" si="15"/>
        <v>4.8</v>
      </c>
      <c r="H89" s="1">
        <f t="shared" si="15"/>
        <v>7.2</v>
      </c>
      <c r="I89" s="1">
        <f t="shared" si="15"/>
        <v>9.6</v>
      </c>
      <c r="J89" s="1">
        <f t="shared" si="15"/>
        <v>12</v>
      </c>
      <c r="K89" s="1">
        <f t="shared" si="15"/>
        <v>14.4</v>
      </c>
      <c r="L89" s="1">
        <f t="shared" si="15"/>
        <v>16.8</v>
      </c>
      <c r="M89" s="1">
        <f t="shared" si="15"/>
        <v>19.2</v>
      </c>
    </row>
    <row r="90" spans="1:13">
      <c r="A90" s="50">
        <v>105</v>
      </c>
      <c r="B90" s="1">
        <f t="shared" si="13"/>
        <v>2.52</v>
      </c>
      <c r="C90" s="1">
        <f t="shared" si="14"/>
        <v>3.024</v>
      </c>
      <c r="D90" s="1">
        <f t="shared" si="15"/>
        <v>3.528</v>
      </c>
      <c r="E90" s="1">
        <f t="shared" si="15"/>
        <v>4.032</v>
      </c>
      <c r="F90" s="1">
        <f t="shared" si="15"/>
        <v>4.5359999999999996</v>
      </c>
      <c r="G90" s="1">
        <f t="shared" si="15"/>
        <v>5.04</v>
      </c>
      <c r="H90" s="1">
        <f t="shared" si="15"/>
        <v>7.56</v>
      </c>
      <c r="I90" s="1">
        <f t="shared" si="15"/>
        <v>10.08</v>
      </c>
      <c r="J90" s="1">
        <f t="shared" si="15"/>
        <v>12.6</v>
      </c>
      <c r="K90" s="1">
        <f t="shared" si="15"/>
        <v>15.12</v>
      </c>
      <c r="L90" s="1">
        <f t="shared" si="15"/>
        <v>17.64</v>
      </c>
      <c r="M90" s="1">
        <f t="shared" si="15"/>
        <v>20.16</v>
      </c>
    </row>
    <row r="91" spans="1:13">
      <c r="A91" s="50">
        <v>110</v>
      </c>
      <c r="B91" s="1">
        <f t="shared" si="13"/>
        <v>2.64</v>
      </c>
      <c r="C91" s="1">
        <f t="shared" si="14"/>
        <v>3.1680000000000001</v>
      </c>
      <c r="D91" s="1">
        <f t="shared" si="15"/>
        <v>3.6960000000000002</v>
      </c>
      <c r="E91" s="1">
        <f t="shared" si="15"/>
        <v>4.2240000000000002</v>
      </c>
      <c r="F91" s="1">
        <f t="shared" si="15"/>
        <v>4.7519999999999998</v>
      </c>
      <c r="G91" s="1">
        <f t="shared" si="15"/>
        <v>5.28</v>
      </c>
      <c r="H91" s="1">
        <f t="shared" si="15"/>
        <v>7.92</v>
      </c>
      <c r="I91" s="1">
        <f t="shared" si="15"/>
        <v>10.56</v>
      </c>
      <c r="J91" s="1">
        <f t="shared" si="15"/>
        <v>13.2</v>
      </c>
      <c r="K91" s="1">
        <f t="shared" si="15"/>
        <v>15.84</v>
      </c>
      <c r="L91" s="1">
        <f t="shared" si="15"/>
        <v>18.48</v>
      </c>
      <c r="M91" s="1">
        <f t="shared" si="15"/>
        <v>21.12</v>
      </c>
    </row>
    <row r="92" spans="1:13">
      <c r="A92" s="50">
        <v>115</v>
      </c>
      <c r="B92" s="1">
        <f t="shared" si="13"/>
        <v>2.76</v>
      </c>
      <c r="C92" s="1">
        <f t="shared" si="14"/>
        <v>3.3119999999999998</v>
      </c>
      <c r="D92" s="1">
        <f t="shared" si="15"/>
        <v>3.8639999999999999</v>
      </c>
      <c r="E92" s="1">
        <f t="shared" si="15"/>
        <v>4.4160000000000004</v>
      </c>
      <c r="F92" s="1">
        <f t="shared" si="15"/>
        <v>4.968</v>
      </c>
      <c r="G92" s="1">
        <f t="shared" si="15"/>
        <v>5.52</v>
      </c>
      <c r="H92" s="1">
        <f t="shared" si="15"/>
        <v>8.2799999999999994</v>
      </c>
      <c r="I92" s="1">
        <f t="shared" si="15"/>
        <v>11.04</v>
      </c>
      <c r="J92" s="1">
        <f t="shared" si="15"/>
        <v>13.8</v>
      </c>
      <c r="K92" s="1">
        <f t="shared" si="15"/>
        <v>16.559999999999999</v>
      </c>
      <c r="L92" s="1">
        <f t="shared" si="15"/>
        <v>19.32</v>
      </c>
      <c r="M92" s="1">
        <f t="shared" si="15"/>
        <v>22.08</v>
      </c>
    </row>
    <row r="93" spans="1:13">
      <c r="A93" s="50">
        <v>120</v>
      </c>
      <c r="B93" s="1">
        <f t="shared" si="13"/>
        <v>2.88</v>
      </c>
      <c r="C93" s="1">
        <f t="shared" si="14"/>
        <v>3.456</v>
      </c>
      <c r="D93" s="1">
        <f t="shared" si="15"/>
        <v>4.032</v>
      </c>
      <c r="E93" s="1">
        <f t="shared" si="15"/>
        <v>4.6079999999999997</v>
      </c>
      <c r="F93" s="1">
        <f t="shared" si="15"/>
        <v>5.1840000000000002</v>
      </c>
      <c r="G93" s="1">
        <f t="shared" si="15"/>
        <v>5.76</v>
      </c>
      <c r="H93" s="1">
        <f t="shared" si="15"/>
        <v>8.64</v>
      </c>
      <c r="I93" s="1">
        <f t="shared" si="15"/>
        <v>11.52</v>
      </c>
      <c r="J93" s="1">
        <f t="shared" si="15"/>
        <v>14.4</v>
      </c>
      <c r="K93" s="1">
        <f t="shared" si="15"/>
        <v>17.28</v>
      </c>
      <c r="L93" s="1">
        <f t="shared" si="15"/>
        <v>20.16</v>
      </c>
      <c r="M93" s="1">
        <f t="shared" si="15"/>
        <v>23.04</v>
      </c>
    </row>
  </sheetData>
  <mergeCells count="11">
    <mergeCell ref="A24:M24"/>
    <mergeCell ref="A41:M41"/>
    <mergeCell ref="A58:M58"/>
    <mergeCell ref="G76:I76"/>
    <mergeCell ref="A77:M77"/>
    <mergeCell ref="A7:M7"/>
    <mergeCell ref="B1:L1"/>
    <mergeCell ref="J3:M3"/>
    <mergeCell ref="J4:M4"/>
    <mergeCell ref="J5:M5"/>
    <mergeCell ref="J6:M6"/>
  </mergeCells>
  <conditionalFormatting sqref="B60:M74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43:M57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26:M40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9:M23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79:M93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  <pageSetup paperSize="9" scale="5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4"/>
  <sheetViews>
    <sheetView view="pageBreakPreview" zoomScale="145" zoomScaleSheetLayoutView="145" workbookViewId="0">
      <selection activeCell="H27" sqref="H27"/>
    </sheetView>
  </sheetViews>
  <sheetFormatPr defaultRowHeight="15"/>
  <sheetData>
    <row r="1" spans="1:17" ht="36.75" thickBot="1">
      <c r="C1" s="118" t="s">
        <v>41</v>
      </c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20"/>
    </row>
    <row r="2" spans="1:17">
      <c r="A2" s="56" t="s">
        <v>42</v>
      </c>
      <c r="B2" s="56"/>
      <c r="C2" s="56"/>
      <c r="D2" s="56" t="s">
        <v>43</v>
      </c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</row>
    <row r="3" spans="1:17">
      <c r="A3" s="56" t="s">
        <v>44</v>
      </c>
      <c r="B3" s="56"/>
      <c r="C3" s="56" t="s">
        <v>45</v>
      </c>
      <c r="D3" s="56"/>
      <c r="E3" s="56"/>
      <c r="F3" s="56"/>
      <c r="G3" s="56" t="s">
        <v>47</v>
      </c>
      <c r="H3" s="56" t="s">
        <v>49</v>
      </c>
      <c r="I3" s="56" t="s">
        <v>48</v>
      </c>
      <c r="J3" s="56"/>
      <c r="K3" s="56"/>
      <c r="L3" s="56"/>
      <c r="M3" s="56"/>
      <c r="N3" s="56"/>
      <c r="O3" s="56"/>
      <c r="P3" s="56"/>
    </row>
    <row r="4" spans="1:17">
      <c r="A4" s="56"/>
      <c r="B4" s="56"/>
      <c r="C4" s="56"/>
      <c r="D4" s="56"/>
      <c r="E4" s="56"/>
      <c r="F4" s="56"/>
      <c r="G4" s="56"/>
      <c r="H4" s="56" t="s">
        <v>50</v>
      </c>
      <c r="I4" s="57" t="s">
        <v>46</v>
      </c>
      <c r="J4" s="56"/>
      <c r="K4" s="56"/>
      <c r="L4" s="56"/>
      <c r="M4" s="56"/>
      <c r="N4" s="56"/>
      <c r="O4" s="56"/>
      <c r="P4" s="56"/>
    </row>
    <row r="5" spans="1:17">
      <c r="A5" s="56"/>
      <c r="B5" s="56" t="s">
        <v>51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</row>
    <row r="6" spans="1:17">
      <c r="B6" s="56" t="s">
        <v>52</v>
      </c>
      <c r="D6" s="56"/>
      <c r="E6" s="56"/>
      <c r="F6" s="56"/>
      <c r="J6" s="56"/>
      <c r="K6" s="56"/>
      <c r="L6" s="56"/>
      <c r="M6" s="56"/>
      <c r="N6" s="56"/>
      <c r="O6" s="56"/>
      <c r="P6" s="56"/>
    </row>
    <row r="7" spans="1:17">
      <c r="B7" s="56"/>
      <c r="D7" s="56"/>
      <c r="E7" s="56"/>
      <c r="F7" s="56"/>
      <c r="J7" s="56"/>
      <c r="K7" s="56"/>
      <c r="L7" s="56"/>
      <c r="M7" s="56"/>
      <c r="N7" s="56"/>
      <c r="O7" s="56"/>
      <c r="P7" s="56"/>
    </row>
    <row r="8" spans="1:17">
      <c r="C8" s="1">
        <v>0.1</v>
      </c>
      <c r="D8" s="58">
        <v>0.2</v>
      </c>
      <c r="E8" s="58">
        <v>0.3</v>
      </c>
      <c r="F8" s="58">
        <v>0.4</v>
      </c>
      <c r="G8" s="58">
        <v>0.5</v>
      </c>
      <c r="H8" s="58">
        <v>0.6</v>
      </c>
      <c r="I8" s="58">
        <v>0.7</v>
      </c>
      <c r="J8" s="1">
        <v>0.8</v>
      </c>
      <c r="K8" s="1">
        <v>0.9</v>
      </c>
      <c r="L8" s="1">
        <v>1</v>
      </c>
      <c r="M8" s="1">
        <v>1.5</v>
      </c>
      <c r="N8" s="1">
        <v>2</v>
      </c>
      <c r="O8" s="1">
        <v>2.5</v>
      </c>
      <c r="P8" s="1">
        <v>3</v>
      </c>
      <c r="Q8" t="s">
        <v>56</v>
      </c>
    </row>
    <row r="9" spans="1:17">
      <c r="A9" s="59" t="s">
        <v>54</v>
      </c>
      <c r="B9" s="1">
        <v>50</v>
      </c>
      <c r="C9" s="55">
        <f>C$8*$B9/4</f>
        <v>1.25</v>
      </c>
      <c r="D9" s="55">
        <f>D$8*$B9/4</f>
        <v>2.5</v>
      </c>
      <c r="E9" s="55">
        <f t="shared" ref="E9:P9" si="0">E$8*$B9/4</f>
        <v>3.75</v>
      </c>
      <c r="F9" s="55">
        <f t="shared" si="0"/>
        <v>5</v>
      </c>
      <c r="G9" s="55">
        <f t="shared" si="0"/>
        <v>6.25</v>
      </c>
      <c r="H9" s="55">
        <f t="shared" si="0"/>
        <v>7.5</v>
      </c>
      <c r="I9" s="55">
        <f t="shared" si="0"/>
        <v>8.75</v>
      </c>
      <c r="J9" s="55">
        <f t="shared" si="0"/>
        <v>10</v>
      </c>
      <c r="K9" s="55">
        <f t="shared" si="0"/>
        <v>11.25</v>
      </c>
      <c r="L9" s="55">
        <f t="shared" si="0"/>
        <v>12.5</v>
      </c>
      <c r="M9" s="55">
        <f t="shared" si="0"/>
        <v>18.75</v>
      </c>
      <c r="N9" s="55">
        <f t="shared" si="0"/>
        <v>25</v>
      </c>
      <c r="O9" s="55">
        <f t="shared" si="0"/>
        <v>31.25</v>
      </c>
      <c r="P9" s="55">
        <f t="shared" si="0"/>
        <v>37.5</v>
      </c>
      <c r="Q9" t="s">
        <v>55</v>
      </c>
    </row>
    <row r="10" spans="1:17">
      <c r="A10" s="59" t="s">
        <v>54</v>
      </c>
      <c r="B10" s="1">
        <v>55</v>
      </c>
      <c r="C10" s="55">
        <f>C$8*$B10/4</f>
        <v>1.375</v>
      </c>
      <c r="D10" s="55">
        <f t="shared" ref="D10:P23" si="1">D$8*$B10/4</f>
        <v>2.75</v>
      </c>
      <c r="E10" s="55">
        <f t="shared" si="1"/>
        <v>4.125</v>
      </c>
      <c r="F10" s="55">
        <f t="shared" si="1"/>
        <v>5.5</v>
      </c>
      <c r="G10" s="55">
        <f t="shared" si="1"/>
        <v>6.875</v>
      </c>
      <c r="H10" s="55">
        <f t="shared" si="1"/>
        <v>8.25</v>
      </c>
      <c r="I10" s="55">
        <f t="shared" si="1"/>
        <v>9.625</v>
      </c>
      <c r="J10" s="55">
        <f t="shared" si="1"/>
        <v>11</v>
      </c>
      <c r="K10" s="55">
        <f t="shared" si="1"/>
        <v>12.375</v>
      </c>
      <c r="L10" s="55">
        <f t="shared" si="1"/>
        <v>13.75</v>
      </c>
      <c r="M10" s="55">
        <f t="shared" si="1"/>
        <v>20.625</v>
      </c>
      <c r="N10" s="55">
        <f t="shared" si="1"/>
        <v>27.5</v>
      </c>
      <c r="O10" s="55">
        <f t="shared" si="1"/>
        <v>34.375</v>
      </c>
      <c r="P10" s="55">
        <f t="shared" si="1"/>
        <v>41.25</v>
      </c>
      <c r="Q10" t="s">
        <v>55</v>
      </c>
    </row>
    <row r="11" spans="1:17">
      <c r="A11" s="59" t="s">
        <v>54</v>
      </c>
      <c r="B11" s="1">
        <v>60</v>
      </c>
      <c r="C11" s="55">
        <f t="shared" ref="C11:C23" si="2">C$8*$B11/4</f>
        <v>1.5</v>
      </c>
      <c r="D11" s="55">
        <f t="shared" si="1"/>
        <v>3</v>
      </c>
      <c r="E11" s="55">
        <f t="shared" si="1"/>
        <v>4.5</v>
      </c>
      <c r="F11" s="55">
        <f t="shared" si="1"/>
        <v>6</v>
      </c>
      <c r="G11" s="55">
        <f t="shared" si="1"/>
        <v>7.5</v>
      </c>
      <c r="H11" s="55">
        <f t="shared" si="1"/>
        <v>9</v>
      </c>
      <c r="I11" s="55">
        <f t="shared" si="1"/>
        <v>10.5</v>
      </c>
      <c r="J11" s="55">
        <f t="shared" si="1"/>
        <v>12</v>
      </c>
      <c r="K11" s="55">
        <f t="shared" si="1"/>
        <v>13.5</v>
      </c>
      <c r="L11" s="55">
        <f t="shared" si="1"/>
        <v>15</v>
      </c>
      <c r="M11" s="55">
        <f t="shared" si="1"/>
        <v>22.5</v>
      </c>
      <c r="N11" s="55">
        <f t="shared" si="1"/>
        <v>30</v>
      </c>
      <c r="O11" s="55">
        <f t="shared" si="1"/>
        <v>37.5</v>
      </c>
      <c r="P11" s="55">
        <f t="shared" si="1"/>
        <v>45</v>
      </c>
      <c r="Q11" t="s">
        <v>55</v>
      </c>
    </row>
    <row r="12" spans="1:17">
      <c r="A12" s="59" t="s">
        <v>54</v>
      </c>
      <c r="B12" s="1">
        <v>65</v>
      </c>
      <c r="C12" s="55">
        <f t="shared" si="2"/>
        <v>1.625</v>
      </c>
      <c r="D12" s="55">
        <f t="shared" si="1"/>
        <v>3.25</v>
      </c>
      <c r="E12" s="55">
        <f t="shared" si="1"/>
        <v>4.875</v>
      </c>
      <c r="F12" s="55">
        <f t="shared" si="1"/>
        <v>6.5</v>
      </c>
      <c r="G12" s="55">
        <f t="shared" si="1"/>
        <v>8.125</v>
      </c>
      <c r="H12" s="55">
        <f t="shared" si="1"/>
        <v>9.75</v>
      </c>
      <c r="I12" s="55">
        <f t="shared" si="1"/>
        <v>11.375</v>
      </c>
      <c r="J12" s="55">
        <f t="shared" si="1"/>
        <v>13</v>
      </c>
      <c r="K12" s="55">
        <f t="shared" si="1"/>
        <v>14.625</v>
      </c>
      <c r="L12" s="55">
        <f t="shared" si="1"/>
        <v>16.25</v>
      </c>
      <c r="M12" s="55">
        <f t="shared" si="1"/>
        <v>24.375</v>
      </c>
      <c r="N12" s="55">
        <f t="shared" si="1"/>
        <v>32.5</v>
      </c>
      <c r="O12" s="55">
        <f t="shared" si="1"/>
        <v>40.625</v>
      </c>
      <c r="P12" s="55">
        <f t="shared" si="1"/>
        <v>48.75</v>
      </c>
      <c r="Q12" t="s">
        <v>55</v>
      </c>
    </row>
    <row r="13" spans="1:17">
      <c r="A13" s="59" t="s">
        <v>54</v>
      </c>
      <c r="B13" s="1">
        <v>70</v>
      </c>
      <c r="C13" s="55">
        <f t="shared" si="2"/>
        <v>1.75</v>
      </c>
      <c r="D13" s="55">
        <f t="shared" si="1"/>
        <v>3.5</v>
      </c>
      <c r="E13" s="55">
        <f t="shared" si="1"/>
        <v>5.25</v>
      </c>
      <c r="F13" s="55">
        <f t="shared" si="1"/>
        <v>7</v>
      </c>
      <c r="G13" s="55">
        <f t="shared" si="1"/>
        <v>8.75</v>
      </c>
      <c r="H13" s="55">
        <f t="shared" si="1"/>
        <v>10.5</v>
      </c>
      <c r="I13" s="55">
        <f t="shared" si="1"/>
        <v>12.25</v>
      </c>
      <c r="J13" s="55">
        <f t="shared" si="1"/>
        <v>14</v>
      </c>
      <c r="K13" s="55">
        <f t="shared" si="1"/>
        <v>15.75</v>
      </c>
      <c r="L13" s="55">
        <f t="shared" si="1"/>
        <v>17.5</v>
      </c>
      <c r="M13" s="55">
        <f t="shared" si="1"/>
        <v>26.25</v>
      </c>
      <c r="N13" s="55">
        <f t="shared" si="1"/>
        <v>35</v>
      </c>
      <c r="O13" s="55">
        <f t="shared" si="1"/>
        <v>43.75</v>
      </c>
      <c r="P13" s="55">
        <f t="shared" si="1"/>
        <v>52.5</v>
      </c>
      <c r="Q13" t="s">
        <v>55</v>
      </c>
    </row>
    <row r="14" spans="1:17">
      <c r="A14" s="59" t="s">
        <v>54</v>
      </c>
      <c r="B14" s="1">
        <v>75</v>
      </c>
      <c r="C14" s="55">
        <f t="shared" si="2"/>
        <v>1.875</v>
      </c>
      <c r="D14" s="55">
        <f t="shared" si="1"/>
        <v>3.75</v>
      </c>
      <c r="E14" s="55">
        <f t="shared" si="1"/>
        <v>5.625</v>
      </c>
      <c r="F14" s="55">
        <f t="shared" si="1"/>
        <v>7.5</v>
      </c>
      <c r="G14" s="55">
        <f t="shared" si="1"/>
        <v>9.375</v>
      </c>
      <c r="H14" s="55">
        <f t="shared" si="1"/>
        <v>11.25</v>
      </c>
      <c r="I14" s="55">
        <f t="shared" si="1"/>
        <v>13.125</v>
      </c>
      <c r="J14" s="55">
        <f t="shared" si="1"/>
        <v>15</v>
      </c>
      <c r="K14" s="55">
        <f t="shared" si="1"/>
        <v>16.875</v>
      </c>
      <c r="L14" s="55">
        <f t="shared" si="1"/>
        <v>18.75</v>
      </c>
      <c r="M14" s="55">
        <f t="shared" si="1"/>
        <v>28.125</v>
      </c>
      <c r="N14" s="55">
        <f t="shared" si="1"/>
        <v>37.5</v>
      </c>
      <c r="O14" s="55">
        <f t="shared" si="1"/>
        <v>46.875</v>
      </c>
      <c r="P14" s="55">
        <f t="shared" si="1"/>
        <v>56.25</v>
      </c>
      <c r="Q14" t="s">
        <v>55</v>
      </c>
    </row>
    <row r="15" spans="1:17">
      <c r="A15" s="59" t="s">
        <v>54</v>
      </c>
      <c r="B15" s="1">
        <v>80</v>
      </c>
      <c r="C15" s="55">
        <f t="shared" si="2"/>
        <v>2</v>
      </c>
      <c r="D15" s="55">
        <f t="shared" si="1"/>
        <v>4</v>
      </c>
      <c r="E15" s="55">
        <f t="shared" si="1"/>
        <v>6</v>
      </c>
      <c r="F15" s="55">
        <f t="shared" si="1"/>
        <v>8</v>
      </c>
      <c r="G15" s="55">
        <f t="shared" si="1"/>
        <v>10</v>
      </c>
      <c r="H15" s="55">
        <f t="shared" si="1"/>
        <v>12</v>
      </c>
      <c r="I15" s="55">
        <f t="shared" si="1"/>
        <v>14</v>
      </c>
      <c r="J15" s="55">
        <f t="shared" si="1"/>
        <v>16</v>
      </c>
      <c r="K15" s="55">
        <f t="shared" si="1"/>
        <v>18</v>
      </c>
      <c r="L15" s="55">
        <f t="shared" si="1"/>
        <v>20</v>
      </c>
      <c r="M15" s="55">
        <f t="shared" si="1"/>
        <v>30</v>
      </c>
      <c r="N15" s="55">
        <f t="shared" si="1"/>
        <v>40</v>
      </c>
      <c r="O15" s="55">
        <f t="shared" si="1"/>
        <v>50</v>
      </c>
      <c r="P15" s="55">
        <f t="shared" si="1"/>
        <v>60</v>
      </c>
      <c r="Q15" t="s">
        <v>55</v>
      </c>
    </row>
    <row r="16" spans="1:17">
      <c r="A16" s="59" t="s">
        <v>54</v>
      </c>
      <c r="B16" s="1">
        <v>85</v>
      </c>
      <c r="C16" s="55">
        <f t="shared" si="2"/>
        <v>2.125</v>
      </c>
      <c r="D16" s="55">
        <f t="shared" si="1"/>
        <v>4.25</v>
      </c>
      <c r="E16" s="55">
        <f t="shared" si="1"/>
        <v>6.375</v>
      </c>
      <c r="F16" s="55">
        <f t="shared" si="1"/>
        <v>8.5</v>
      </c>
      <c r="G16" s="55">
        <f t="shared" si="1"/>
        <v>10.625</v>
      </c>
      <c r="H16" s="55">
        <f t="shared" si="1"/>
        <v>12.75</v>
      </c>
      <c r="I16" s="55">
        <f t="shared" si="1"/>
        <v>14.874999999999998</v>
      </c>
      <c r="J16" s="55">
        <f t="shared" si="1"/>
        <v>17</v>
      </c>
      <c r="K16" s="55">
        <f t="shared" si="1"/>
        <v>19.125</v>
      </c>
      <c r="L16" s="55">
        <f t="shared" si="1"/>
        <v>21.25</v>
      </c>
      <c r="M16" s="55">
        <f t="shared" si="1"/>
        <v>31.875</v>
      </c>
      <c r="N16" s="55">
        <f t="shared" si="1"/>
        <v>42.5</v>
      </c>
      <c r="O16" s="55">
        <f t="shared" si="1"/>
        <v>53.125</v>
      </c>
      <c r="P16" s="55">
        <f t="shared" si="1"/>
        <v>63.75</v>
      </c>
      <c r="Q16" t="s">
        <v>55</v>
      </c>
    </row>
    <row r="17" spans="1:17">
      <c r="A17" s="59" t="s">
        <v>54</v>
      </c>
      <c r="B17" s="1">
        <v>90</v>
      </c>
      <c r="C17" s="55">
        <f t="shared" si="2"/>
        <v>2.25</v>
      </c>
      <c r="D17" s="55">
        <f t="shared" si="1"/>
        <v>4.5</v>
      </c>
      <c r="E17" s="55">
        <f t="shared" si="1"/>
        <v>6.75</v>
      </c>
      <c r="F17" s="55">
        <f t="shared" si="1"/>
        <v>9</v>
      </c>
      <c r="G17" s="55">
        <f t="shared" si="1"/>
        <v>11.25</v>
      </c>
      <c r="H17" s="55">
        <f t="shared" si="1"/>
        <v>13.5</v>
      </c>
      <c r="I17" s="55">
        <f t="shared" si="1"/>
        <v>15.749999999999998</v>
      </c>
      <c r="J17" s="55">
        <f t="shared" si="1"/>
        <v>18</v>
      </c>
      <c r="K17" s="55">
        <f t="shared" si="1"/>
        <v>20.25</v>
      </c>
      <c r="L17" s="55">
        <f t="shared" si="1"/>
        <v>22.5</v>
      </c>
      <c r="M17" s="55">
        <f t="shared" si="1"/>
        <v>33.75</v>
      </c>
      <c r="N17" s="55">
        <f t="shared" si="1"/>
        <v>45</v>
      </c>
      <c r="O17" s="55">
        <f t="shared" si="1"/>
        <v>56.25</v>
      </c>
      <c r="P17" s="55">
        <f t="shared" si="1"/>
        <v>67.5</v>
      </c>
      <c r="Q17" t="s">
        <v>55</v>
      </c>
    </row>
    <row r="18" spans="1:17">
      <c r="A18" s="59" t="s">
        <v>54</v>
      </c>
      <c r="B18" s="1">
        <v>95</v>
      </c>
      <c r="C18" s="55">
        <f t="shared" si="2"/>
        <v>2.375</v>
      </c>
      <c r="D18" s="55">
        <f t="shared" si="1"/>
        <v>4.75</v>
      </c>
      <c r="E18" s="55">
        <f t="shared" si="1"/>
        <v>7.125</v>
      </c>
      <c r="F18" s="55">
        <f t="shared" si="1"/>
        <v>9.5</v>
      </c>
      <c r="G18" s="55">
        <f t="shared" si="1"/>
        <v>11.875</v>
      </c>
      <c r="H18" s="55">
        <f t="shared" si="1"/>
        <v>14.25</v>
      </c>
      <c r="I18" s="55">
        <f t="shared" si="1"/>
        <v>16.625</v>
      </c>
      <c r="J18" s="55">
        <f t="shared" si="1"/>
        <v>19</v>
      </c>
      <c r="K18" s="55">
        <f t="shared" si="1"/>
        <v>21.375</v>
      </c>
      <c r="L18" s="55">
        <f t="shared" si="1"/>
        <v>23.75</v>
      </c>
      <c r="M18" s="55">
        <f t="shared" si="1"/>
        <v>35.625</v>
      </c>
      <c r="N18" s="55">
        <f t="shared" si="1"/>
        <v>47.5</v>
      </c>
      <c r="O18" s="55">
        <f t="shared" si="1"/>
        <v>59.375</v>
      </c>
      <c r="P18" s="55">
        <f t="shared" si="1"/>
        <v>71.25</v>
      </c>
      <c r="Q18" t="s">
        <v>55</v>
      </c>
    </row>
    <row r="19" spans="1:17">
      <c r="A19" s="59" t="s">
        <v>54</v>
      </c>
      <c r="B19" s="1">
        <v>100</v>
      </c>
      <c r="C19" s="55">
        <f t="shared" si="2"/>
        <v>2.5</v>
      </c>
      <c r="D19" s="55">
        <f t="shared" si="1"/>
        <v>5</v>
      </c>
      <c r="E19" s="55">
        <f t="shared" si="1"/>
        <v>7.5</v>
      </c>
      <c r="F19" s="55">
        <f t="shared" si="1"/>
        <v>10</v>
      </c>
      <c r="G19" s="55">
        <f t="shared" si="1"/>
        <v>12.5</v>
      </c>
      <c r="H19" s="55">
        <f t="shared" si="1"/>
        <v>15</v>
      </c>
      <c r="I19" s="55">
        <f t="shared" si="1"/>
        <v>17.5</v>
      </c>
      <c r="J19" s="55">
        <f t="shared" si="1"/>
        <v>20</v>
      </c>
      <c r="K19" s="55">
        <f t="shared" si="1"/>
        <v>22.5</v>
      </c>
      <c r="L19" s="55">
        <f t="shared" si="1"/>
        <v>25</v>
      </c>
      <c r="M19" s="55">
        <f t="shared" si="1"/>
        <v>37.5</v>
      </c>
      <c r="N19" s="55">
        <f t="shared" si="1"/>
        <v>50</v>
      </c>
      <c r="O19" s="55">
        <f t="shared" si="1"/>
        <v>62.5</v>
      </c>
      <c r="P19" s="55">
        <f t="shared" si="1"/>
        <v>75</v>
      </c>
      <c r="Q19" t="s">
        <v>55</v>
      </c>
    </row>
    <row r="20" spans="1:17">
      <c r="A20" s="59" t="s">
        <v>54</v>
      </c>
      <c r="B20" s="1">
        <v>105</v>
      </c>
      <c r="C20" s="55">
        <f t="shared" si="2"/>
        <v>2.625</v>
      </c>
      <c r="D20" s="55">
        <f t="shared" si="1"/>
        <v>5.25</v>
      </c>
      <c r="E20" s="55">
        <f t="shared" si="1"/>
        <v>7.875</v>
      </c>
      <c r="F20" s="55">
        <f t="shared" si="1"/>
        <v>10.5</v>
      </c>
      <c r="G20" s="55">
        <f t="shared" si="1"/>
        <v>13.125</v>
      </c>
      <c r="H20" s="55">
        <f t="shared" si="1"/>
        <v>15.75</v>
      </c>
      <c r="I20" s="55">
        <f t="shared" si="1"/>
        <v>18.375</v>
      </c>
      <c r="J20" s="55">
        <f t="shared" si="1"/>
        <v>21</v>
      </c>
      <c r="K20" s="55">
        <f t="shared" si="1"/>
        <v>23.625</v>
      </c>
      <c r="L20" s="55">
        <f t="shared" si="1"/>
        <v>26.25</v>
      </c>
      <c r="M20" s="55">
        <f t="shared" si="1"/>
        <v>39.375</v>
      </c>
      <c r="N20" s="55">
        <f t="shared" si="1"/>
        <v>52.5</v>
      </c>
      <c r="O20" s="55">
        <f t="shared" si="1"/>
        <v>65.625</v>
      </c>
      <c r="P20" s="55">
        <f t="shared" si="1"/>
        <v>78.75</v>
      </c>
      <c r="Q20" t="s">
        <v>55</v>
      </c>
    </row>
    <row r="21" spans="1:17">
      <c r="A21" s="59" t="s">
        <v>54</v>
      </c>
      <c r="B21" s="1">
        <v>110</v>
      </c>
      <c r="C21" s="55">
        <f t="shared" si="2"/>
        <v>2.75</v>
      </c>
      <c r="D21" s="55">
        <f t="shared" si="1"/>
        <v>5.5</v>
      </c>
      <c r="E21" s="55">
        <f t="shared" si="1"/>
        <v>8.25</v>
      </c>
      <c r="F21" s="55">
        <f t="shared" si="1"/>
        <v>11</v>
      </c>
      <c r="G21" s="55">
        <f t="shared" si="1"/>
        <v>13.75</v>
      </c>
      <c r="H21" s="55">
        <f t="shared" si="1"/>
        <v>16.5</v>
      </c>
      <c r="I21" s="55">
        <f t="shared" si="1"/>
        <v>19.25</v>
      </c>
      <c r="J21" s="55">
        <f t="shared" si="1"/>
        <v>22</v>
      </c>
      <c r="K21" s="55">
        <f t="shared" si="1"/>
        <v>24.75</v>
      </c>
      <c r="L21" s="55">
        <f t="shared" si="1"/>
        <v>27.5</v>
      </c>
      <c r="M21" s="55">
        <f t="shared" si="1"/>
        <v>41.25</v>
      </c>
      <c r="N21" s="55">
        <f t="shared" si="1"/>
        <v>55</v>
      </c>
      <c r="O21" s="55">
        <f t="shared" si="1"/>
        <v>68.75</v>
      </c>
      <c r="P21" s="55">
        <f t="shared" si="1"/>
        <v>82.5</v>
      </c>
      <c r="Q21" t="s">
        <v>55</v>
      </c>
    </row>
    <row r="22" spans="1:17">
      <c r="A22" s="59" t="s">
        <v>54</v>
      </c>
      <c r="B22" s="1">
        <v>115</v>
      </c>
      <c r="C22" s="55">
        <f t="shared" si="2"/>
        <v>2.875</v>
      </c>
      <c r="D22" s="55">
        <f t="shared" si="1"/>
        <v>5.75</v>
      </c>
      <c r="E22" s="55">
        <f t="shared" si="1"/>
        <v>8.625</v>
      </c>
      <c r="F22" s="55">
        <f t="shared" si="1"/>
        <v>11.5</v>
      </c>
      <c r="G22" s="55">
        <f t="shared" si="1"/>
        <v>14.375</v>
      </c>
      <c r="H22" s="55">
        <f t="shared" si="1"/>
        <v>17.25</v>
      </c>
      <c r="I22" s="55">
        <f t="shared" si="1"/>
        <v>20.125</v>
      </c>
      <c r="J22" s="55">
        <f t="shared" si="1"/>
        <v>23</v>
      </c>
      <c r="K22" s="55">
        <f t="shared" si="1"/>
        <v>25.875</v>
      </c>
      <c r="L22" s="55">
        <f t="shared" si="1"/>
        <v>28.75</v>
      </c>
      <c r="M22" s="55">
        <f t="shared" si="1"/>
        <v>43.125</v>
      </c>
      <c r="N22" s="55">
        <f t="shared" si="1"/>
        <v>57.5</v>
      </c>
      <c r="O22" s="55">
        <f t="shared" si="1"/>
        <v>71.875</v>
      </c>
      <c r="P22" s="55">
        <f t="shared" si="1"/>
        <v>86.25</v>
      </c>
      <c r="Q22" t="s">
        <v>55</v>
      </c>
    </row>
    <row r="23" spans="1:17">
      <c r="A23" s="59" t="s">
        <v>54</v>
      </c>
      <c r="B23" s="1">
        <v>120</v>
      </c>
      <c r="C23" s="55">
        <f t="shared" si="2"/>
        <v>3</v>
      </c>
      <c r="D23" s="55">
        <f t="shared" si="1"/>
        <v>6</v>
      </c>
      <c r="E23" s="55">
        <f t="shared" si="1"/>
        <v>9</v>
      </c>
      <c r="F23" s="55">
        <f t="shared" si="1"/>
        <v>12</v>
      </c>
      <c r="G23" s="55">
        <f t="shared" si="1"/>
        <v>15</v>
      </c>
      <c r="H23" s="55">
        <f t="shared" si="1"/>
        <v>18</v>
      </c>
      <c r="I23" s="55">
        <f t="shared" si="1"/>
        <v>21</v>
      </c>
      <c r="J23" s="55">
        <f t="shared" si="1"/>
        <v>24</v>
      </c>
      <c r="K23" s="55">
        <f t="shared" si="1"/>
        <v>27</v>
      </c>
      <c r="L23" s="55">
        <f t="shared" si="1"/>
        <v>30</v>
      </c>
      <c r="M23" s="55">
        <f t="shared" si="1"/>
        <v>45</v>
      </c>
      <c r="N23" s="55">
        <f t="shared" si="1"/>
        <v>60</v>
      </c>
      <c r="O23" s="55">
        <f t="shared" si="1"/>
        <v>75</v>
      </c>
      <c r="P23" s="55">
        <f t="shared" si="1"/>
        <v>90</v>
      </c>
      <c r="Q23" t="s">
        <v>55</v>
      </c>
    </row>
    <row r="24" spans="1:17" ht="15.75">
      <c r="C24" s="55"/>
      <c r="D24" s="121" t="s">
        <v>53</v>
      </c>
      <c r="E24" s="121"/>
      <c r="F24" s="121"/>
      <c r="G24" s="121"/>
      <c r="H24" s="121"/>
      <c r="I24" s="121"/>
      <c r="J24" s="55"/>
      <c r="K24" s="55"/>
      <c r="L24" s="55"/>
      <c r="M24" s="55"/>
      <c r="N24" s="55"/>
      <c r="O24" s="55"/>
      <c r="P24" s="55"/>
    </row>
  </sheetData>
  <mergeCells count="2">
    <mergeCell ref="C1:O1"/>
    <mergeCell ref="D24:I24"/>
  </mergeCells>
  <conditionalFormatting sqref="C9:P23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  <pageSetup paperSize="9" scale="5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08"/>
  <sheetViews>
    <sheetView view="pageBreakPreview" zoomScaleSheetLayoutView="100" workbookViewId="0">
      <selection activeCell="H2" sqref="H2"/>
    </sheetView>
  </sheetViews>
  <sheetFormatPr defaultRowHeight="15"/>
  <sheetData>
    <row r="1" spans="1:18" ht="34.5" thickBot="1">
      <c r="A1" s="1"/>
      <c r="B1" s="129" t="s">
        <v>57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1"/>
    </row>
    <row r="3" spans="1:18">
      <c r="B3" t="s">
        <v>58</v>
      </c>
      <c r="C3" s="60" t="s">
        <v>61</v>
      </c>
      <c r="D3" t="s">
        <v>59</v>
      </c>
      <c r="E3" s="60" t="s">
        <v>61</v>
      </c>
      <c r="F3" t="s">
        <v>60</v>
      </c>
      <c r="H3" t="s">
        <v>67</v>
      </c>
    </row>
    <row r="4" spans="1:18" ht="15.75" thickBot="1">
      <c r="B4" s="61" t="s">
        <v>62</v>
      </c>
      <c r="C4" s="61" t="s">
        <v>63</v>
      </c>
      <c r="D4" s="61"/>
      <c r="E4" s="61"/>
      <c r="F4" s="61"/>
    </row>
    <row r="5" spans="1:18">
      <c r="A5" s="122" t="s">
        <v>66</v>
      </c>
      <c r="B5" s="67"/>
      <c r="C5" s="63">
        <v>1</v>
      </c>
      <c r="D5" s="63">
        <v>1.2</v>
      </c>
      <c r="E5" s="63">
        <v>1.4</v>
      </c>
      <c r="F5" s="63">
        <v>1.6</v>
      </c>
      <c r="G5" s="63">
        <v>1.8</v>
      </c>
      <c r="H5" s="63">
        <v>2</v>
      </c>
      <c r="I5" s="63">
        <v>2.5</v>
      </c>
      <c r="J5" s="40"/>
    </row>
    <row r="6" spans="1:18">
      <c r="A6" s="123"/>
      <c r="B6" s="65">
        <v>50</v>
      </c>
      <c r="C6" s="38">
        <f>$B6*C$5/10</f>
        <v>5</v>
      </c>
      <c r="D6" s="38">
        <f>$B6*D$5/10</f>
        <v>6</v>
      </c>
      <c r="E6" s="38">
        <f t="shared" ref="E6:I6" si="0">$B6*E$5/10</f>
        <v>7</v>
      </c>
      <c r="F6" s="38">
        <f t="shared" si="0"/>
        <v>8</v>
      </c>
      <c r="G6" s="38">
        <f t="shared" si="0"/>
        <v>9</v>
      </c>
      <c r="H6" s="38">
        <f t="shared" si="0"/>
        <v>10</v>
      </c>
      <c r="I6" s="38">
        <f t="shared" si="0"/>
        <v>12.5</v>
      </c>
      <c r="J6" s="68" t="s">
        <v>68</v>
      </c>
    </row>
    <row r="7" spans="1:18">
      <c r="A7" s="123"/>
      <c r="B7" s="65">
        <v>55</v>
      </c>
      <c r="C7" s="38">
        <f t="shared" ref="C7:I20" si="1">$B7*C$5/10</f>
        <v>5.5</v>
      </c>
      <c r="D7" s="38">
        <f t="shared" si="1"/>
        <v>6.6</v>
      </c>
      <c r="E7" s="38">
        <f t="shared" si="1"/>
        <v>7.7</v>
      </c>
      <c r="F7" s="38">
        <f t="shared" si="1"/>
        <v>8.8000000000000007</v>
      </c>
      <c r="G7" s="38">
        <f t="shared" si="1"/>
        <v>9.9</v>
      </c>
      <c r="H7" s="38">
        <f t="shared" si="1"/>
        <v>11</v>
      </c>
      <c r="I7" s="38">
        <f t="shared" si="1"/>
        <v>13.75</v>
      </c>
      <c r="J7" s="68" t="s">
        <v>68</v>
      </c>
    </row>
    <row r="8" spans="1:18">
      <c r="A8" s="123"/>
      <c r="B8" s="65">
        <v>60</v>
      </c>
      <c r="C8" s="38">
        <f t="shared" si="1"/>
        <v>6</v>
      </c>
      <c r="D8" s="38">
        <f t="shared" si="1"/>
        <v>7.2</v>
      </c>
      <c r="E8" s="38">
        <f t="shared" si="1"/>
        <v>8.4</v>
      </c>
      <c r="F8" s="38">
        <f t="shared" si="1"/>
        <v>9.6</v>
      </c>
      <c r="G8" s="38">
        <f t="shared" si="1"/>
        <v>10.8</v>
      </c>
      <c r="H8" s="38">
        <f t="shared" si="1"/>
        <v>12</v>
      </c>
      <c r="I8" s="38">
        <f t="shared" si="1"/>
        <v>15</v>
      </c>
      <c r="J8" s="68" t="s">
        <v>68</v>
      </c>
    </row>
    <row r="9" spans="1:18">
      <c r="A9" s="123"/>
      <c r="B9" s="65">
        <v>65</v>
      </c>
      <c r="C9" s="38">
        <f t="shared" si="1"/>
        <v>6.5</v>
      </c>
      <c r="D9" s="38">
        <f t="shared" si="1"/>
        <v>7.8</v>
      </c>
      <c r="E9" s="38">
        <f t="shared" si="1"/>
        <v>9.1</v>
      </c>
      <c r="F9" s="38">
        <f t="shared" si="1"/>
        <v>10.4</v>
      </c>
      <c r="G9" s="38">
        <f t="shared" si="1"/>
        <v>11.7</v>
      </c>
      <c r="H9" s="38">
        <f t="shared" si="1"/>
        <v>13</v>
      </c>
      <c r="I9" s="38">
        <f t="shared" si="1"/>
        <v>16.25</v>
      </c>
      <c r="J9" s="68" t="s">
        <v>68</v>
      </c>
    </row>
    <row r="10" spans="1:18">
      <c r="A10" s="123"/>
      <c r="B10" s="65">
        <v>70</v>
      </c>
      <c r="C10" s="38">
        <f t="shared" si="1"/>
        <v>7</v>
      </c>
      <c r="D10" s="38">
        <f t="shared" si="1"/>
        <v>8.4</v>
      </c>
      <c r="E10" s="38">
        <f t="shared" si="1"/>
        <v>9.8000000000000007</v>
      </c>
      <c r="F10" s="38">
        <f t="shared" si="1"/>
        <v>11.2</v>
      </c>
      <c r="G10" s="38">
        <f t="shared" si="1"/>
        <v>12.6</v>
      </c>
      <c r="H10" s="38">
        <f t="shared" si="1"/>
        <v>14</v>
      </c>
      <c r="I10" s="38">
        <f t="shared" si="1"/>
        <v>17.5</v>
      </c>
      <c r="J10" s="68" t="s">
        <v>68</v>
      </c>
    </row>
    <row r="11" spans="1:18">
      <c r="A11" s="123"/>
      <c r="B11" s="65">
        <v>75</v>
      </c>
      <c r="C11" s="38">
        <f t="shared" si="1"/>
        <v>7.5</v>
      </c>
      <c r="D11" s="38">
        <f t="shared" si="1"/>
        <v>9</v>
      </c>
      <c r="E11" s="38">
        <f t="shared" si="1"/>
        <v>10.5</v>
      </c>
      <c r="F11" s="38">
        <f t="shared" si="1"/>
        <v>12</v>
      </c>
      <c r="G11" s="38">
        <f t="shared" si="1"/>
        <v>13.5</v>
      </c>
      <c r="H11" s="38">
        <f t="shared" si="1"/>
        <v>15</v>
      </c>
      <c r="I11" s="38">
        <f t="shared" si="1"/>
        <v>18.75</v>
      </c>
      <c r="J11" s="68" t="s">
        <v>68</v>
      </c>
    </row>
    <row r="12" spans="1:18">
      <c r="A12" s="123"/>
      <c r="B12" s="65">
        <v>80</v>
      </c>
      <c r="C12" s="38">
        <f t="shared" si="1"/>
        <v>8</v>
      </c>
      <c r="D12" s="38">
        <f t="shared" si="1"/>
        <v>9.6</v>
      </c>
      <c r="E12" s="38">
        <f t="shared" si="1"/>
        <v>11.2</v>
      </c>
      <c r="F12" s="38">
        <f t="shared" si="1"/>
        <v>12.8</v>
      </c>
      <c r="G12" s="38">
        <f t="shared" si="1"/>
        <v>14.4</v>
      </c>
      <c r="H12" s="38">
        <f t="shared" si="1"/>
        <v>16</v>
      </c>
      <c r="I12" s="38">
        <f t="shared" si="1"/>
        <v>20</v>
      </c>
      <c r="J12" s="68" t="s">
        <v>68</v>
      </c>
    </row>
    <row r="13" spans="1:18">
      <c r="A13" s="123"/>
      <c r="B13" s="65">
        <v>85</v>
      </c>
      <c r="C13" s="38">
        <f t="shared" si="1"/>
        <v>8.5</v>
      </c>
      <c r="D13" s="38">
        <f t="shared" si="1"/>
        <v>10.199999999999999</v>
      </c>
      <c r="E13" s="38">
        <f t="shared" si="1"/>
        <v>11.899999999999999</v>
      </c>
      <c r="F13" s="38">
        <f t="shared" si="1"/>
        <v>13.6</v>
      </c>
      <c r="G13" s="38">
        <f t="shared" si="1"/>
        <v>15.3</v>
      </c>
      <c r="H13" s="38">
        <f t="shared" si="1"/>
        <v>17</v>
      </c>
      <c r="I13" s="38">
        <f t="shared" si="1"/>
        <v>21.25</v>
      </c>
      <c r="J13" s="68" t="s">
        <v>68</v>
      </c>
    </row>
    <row r="14" spans="1:18">
      <c r="A14" s="123"/>
      <c r="B14" s="65">
        <v>90</v>
      </c>
      <c r="C14" s="38">
        <f t="shared" si="1"/>
        <v>9</v>
      </c>
      <c r="D14" s="38">
        <f t="shared" si="1"/>
        <v>10.8</v>
      </c>
      <c r="E14" s="38">
        <f t="shared" si="1"/>
        <v>12.599999999999998</v>
      </c>
      <c r="F14" s="38">
        <f t="shared" si="1"/>
        <v>14.4</v>
      </c>
      <c r="G14" s="38">
        <f t="shared" si="1"/>
        <v>16.2</v>
      </c>
      <c r="H14" s="38">
        <f t="shared" si="1"/>
        <v>18</v>
      </c>
      <c r="I14" s="38">
        <f t="shared" si="1"/>
        <v>22.5</v>
      </c>
      <c r="J14" s="68" t="s">
        <v>68</v>
      </c>
    </row>
    <row r="15" spans="1:18">
      <c r="A15" s="123"/>
      <c r="B15" s="65">
        <v>95</v>
      </c>
      <c r="C15" s="38">
        <f t="shared" si="1"/>
        <v>9.5</v>
      </c>
      <c r="D15" s="38">
        <f t="shared" si="1"/>
        <v>11.4</v>
      </c>
      <c r="E15" s="38">
        <f t="shared" si="1"/>
        <v>13.3</v>
      </c>
      <c r="F15" s="38">
        <f t="shared" si="1"/>
        <v>15.2</v>
      </c>
      <c r="G15" s="38">
        <f t="shared" si="1"/>
        <v>17.100000000000001</v>
      </c>
      <c r="H15" s="38">
        <f t="shared" si="1"/>
        <v>19</v>
      </c>
      <c r="I15" s="38">
        <f t="shared" si="1"/>
        <v>23.75</v>
      </c>
      <c r="J15" s="68" t="s">
        <v>68</v>
      </c>
    </row>
    <row r="16" spans="1:18">
      <c r="A16" s="123"/>
      <c r="B16" s="65">
        <v>100</v>
      </c>
      <c r="C16" s="38">
        <f t="shared" si="1"/>
        <v>10</v>
      </c>
      <c r="D16" s="38">
        <f t="shared" si="1"/>
        <v>12</v>
      </c>
      <c r="E16" s="38">
        <f t="shared" si="1"/>
        <v>14</v>
      </c>
      <c r="F16" s="38">
        <f t="shared" si="1"/>
        <v>16</v>
      </c>
      <c r="G16" s="38">
        <f t="shared" si="1"/>
        <v>18</v>
      </c>
      <c r="H16" s="38">
        <f t="shared" si="1"/>
        <v>20</v>
      </c>
      <c r="I16" s="38">
        <f t="shared" si="1"/>
        <v>25</v>
      </c>
      <c r="J16" s="68" t="s">
        <v>68</v>
      </c>
    </row>
    <row r="17" spans="1:19">
      <c r="A17" s="123"/>
      <c r="B17" s="65">
        <v>105</v>
      </c>
      <c r="C17" s="38">
        <f t="shared" si="1"/>
        <v>10.5</v>
      </c>
      <c r="D17" s="38">
        <f t="shared" si="1"/>
        <v>12.6</v>
      </c>
      <c r="E17" s="38">
        <f t="shared" si="1"/>
        <v>14.7</v>
      </c>
      <c r="F17" s="38">
        <f t="shared" si="1"/>
        <v>16.8</v>
      </c>
      <c r="G17" s="38">
        <f t="shared" si="1"/>
        <v>18.899999999999999</v>
      </c>
      <c r="H17" s="38">
        <f t="shared" si="1"/>
        <v>21</v>
      </c>
      <c r="I17" s="38">
        <f t="shared" si="1"/>
        <v>26.25</v>
      </c>
      <c r="J17" s="68" t="s">
        <v>68</v>
      </c>
    </row>
    <row r="18" spans="1:19">
      <c r="A18" s="123"/>
      <c r="B18" s="65">
        <v>110</v>
      </c>
      <c r="C18" s="38">
        <f t="shared" si="1"/>
        <v>11</v>
      </c>
      <c r="D18" s="38">
        <f t="shared" si="1"/>
        <v>13.2</v>
      </c>
      <c r="E18" s="38">
        <f t="shared" si="1"/>
        <v>15.4</v>
      </c>
      <c r="F18" s="38">
        <f t="shared" si="1"/>
        <v>17.600000000000001</v>
      </c>
      <c r="G18" s="38">
        <f t="shared" si="1"/>
        <v>19.8</v>
      </c>
      <c r="H18" s="38">
        <f t="shared" si="1"/>
        <v>22</v>
      </c>
      <c r="I18" s="38">
        <f t="shared" si="1"/>
        <v>27.5</v>
      </c>
      <c r="J18" s="68" t="s">
        <v>68</v>
      </c>
    </row>
    <row r="19" spans="1:19">
      <c r="A19" s="123"/>
      <c r="B19" s="65">
        <v>115</v>
      </c>
      <c r="C19" s="38">
        <f t="shared" si="1"/>
        <v>11.5</v>
      </c>
      <c r="D19" s="38">
        <f t="shared" si="1"/>
        <v>13.8</v>
      </c>
      <c r="E19" s="38">
        <f t="shared" si="1"/>
        <v>16.100000000000001</v>
      </c>
      <c r="F19" s="38">
        <f t="shared" si="1"/>
        <v>18.399999999999999</v>
      </c>
      <c r="G19" s="38">
        <f t="shared" si="1"/>
        <v>20.7</v>
      </c>
      <c r="H19" s="38">
        <f t="shared" si="1"/>
        <v>23</v>
      </c>
      <c r="I19" s="38">
        <f t="shared" si="1"/>
        <v>28.75</v>
      </c>
      <c r="J19" s="68" t="s">
        <v>68</v>
      </c>
    </row>
    <row r="20" spans="1:19" ht="15.75" thickBot="1">
      <c r="A20" s="124"/>
      <c r="B20" s="66">
        <v>120</v>
      </c>
      <c r="C20" s="39">
        <f t="shared" si="1"/>
        <v>12</v>
      </c>
      <c r="D20" s="39">
        <f t="shared" si="1"/>
        <v>14.4</v>
      </c>
      <c r="E20" s="39">
        <f t="shared" si="1"/>
        <v>16.8</v>
      </c>
      <c r="F20" s="39">
        <f t="shared" si="1"/>
        <v>19.2</v>
      </c>
      <c r="G20" s="39">
        <f t="shared" si="1"/>
        <v>21.6</v>
      </c>
      <c r="H20" s="39">
        <f t="shared" si="1"/>
        <v>24</v>
      </c>
      <c r="I20" s="39">
        <f t="shared" si="1"/>
        <v>30</v>
      </c>
      <c r="J20" s="69" t="s">
        <v>68</v>
      </c>
    </row>
    <row r="22" spans="1:19">
      <c r="B22" s="61" t="s">
        <v>65</v>
      </c>
      <c r="D22" s="61" t="s">
        <v>64</v>
      </c>
    </row>
    <row r="23" spans="1:19" s="1" customFormat="1" ht="15.75" thickBot="1">
      <c r="C23" s="1">
        <v>0.1</v>
      </c>
      <c r="D23" s="1">
        <v>0.2</v>
      </c>
      <c r="E23" s="1">
        <v>0.3</v>
      </c>
      <c r="F23" s="1">
        <v>0.4</v>
      </c>
      <c r="G23" s="1">
        <v>0.5</v>
      </c>
      <c r="H23" s="1">
        <v>0.6</v>
      </c>
      <c r="I23" s="1">
        <v>0.7</v>
      </c>
      <c r="J23" s="1">
        <v>0.8</v>
      </c>
      <c r="K23" s="1">
        <v>0.9</v>
      </c>
      <c r="L23" s="1">
        <v>1</v>
      </c>
      <c r="M23" s="1">
        <v>1.5</v>
      </c>
      <c r="N23" s="1">
        <v>2</v>
      </c>
      <c r="O23" s="1">
        <v>2.5</v>
      </c>
      <c r="P23" s="1">
        <v>3</v>
      </c>
      <c r="Q23" s="1">
        <v>3.5</v>
      </c>
      <c r="R23" s="1">
        <v>4</v>
      </c>
    </row>
    <row r="24" spans="1:19" s="1" customFormat="1">
      <c r="A24" s="125" t="s">
        <v>69</v>
      </c>
      <c r="B24" s="63">
        <v>50</v>
      </c>
      <c r="C24" s="64">
        <f>$B24*C$23/10</f>
        <v>0.5</v>
      </c>
      <c r="D24" s="64">
        <f t="shared" ref="D24:R24" si="2">$B24*D$23/10</f>
        <v>1</v>
      </c>
      <c r="E24" s="64">
        <f t="shared" si="2"/>
        <v>1.5</v>
      </c>
      <c r="F24" s="64">
        <f t="shared" si="2"/>
        <v>2</v>
      </c>
      <c r="G24" s="64">
        <f t="shared" si="2"/>
        <v>2.5</v>
      </c>
      <c r="H24" s="64">
        <f t="shared" si="2"/>
        <v>3</v>
      </c>
      <c r="I24" s="64">
        <f t="shared" si="2"/>
        <v>3.5</v>
      </c>
      <c r="J24" s="64">
        <f t="shared" si="2"/>
        <v>4</v>
      </c>
      <c r="K24" s="64">
        <f t="shared" si="2"/>
        <v>4.5</v>
      </c>
      <c r="L24" s="64">
        <f t="shared" si="2"/>
        <v>5</v>
      </c>
      <c r="M24" s="64">
        <f t="shared" si="2"/>
        <v>7.5</v>
      </c>
      <c r="N24" s="64">
        <f t="shared" si="2"/>
        <v>10</v>
      </c>
      <c r="O24" s="64">
        <f t="shared" si="2"/>
        <v>12.5</v>
      </c>
      <c r="P24" s="64">
        <f t="shared" si="2"/>
        <v>15</v>
      </c>
      <c r="Q24" s="64">
        <f t="shared" si="2"/>
        <v>17.5</v>
      </c>
      <c r="R24" s="40">
        <f t="shared" si="2"/>
        <v>20</v>
      </c>
      <c r="S24" s="62" t="s">
        <v>1</v>
      </c>
    </row>
    <row r="25" spans="1:19" s="1" customFormat="1">
      <c r="A25" s="126"/>
      <c r="B25" s="65">
        <v>55</v>
      </c>
      <c r="C25" s="38">
        <f t="shared" ref="C25:R38" si="3">$B25*C$23/10</f>
        <v>0.55000000000000004</v>
      </c>
      <c r="D25" s="38">
        <f t="shared" si="3"/>
        <v>1.1000000000000001</v>
      </c>
      <c r="E25" s="38">
        <f t="shared" si="3"/>
        <v>1.65</v>
      </c>
      <c r="F25" s="38">
        <f t="shared" si="3"/>
        <v>2.2000000000000002</v>
      </c>
      <c r="G25" s="38">
        <f t="shared" si="3"/>
        <v>2.75</v>
      </c>
      <c r="H25" s="38">
        <f t="shared" si="3"/>
        <v>3.3</v>
      </c>
      <c r="I25" s="38">
        <f t="shared" si="3"/>
        <v>3.85</v>
      </c>
      <c r="J25" s="38">
        <f t="shared" si="3"/>
        <v>4.4000000000000004</v>
      </c>
      <c r="K25" s="38">
        <f t="shared" si="3"/>
        <v>4.95</v>
      </c>
      <c r="L25" s="38">
        <f t="shared" si="3"/>
        <v>5.5</v>
      </c>
      <c r="M25" s="38">
        <f t="shared" si="3"/>
        <v>8.25</v>
      </c>
      <c r="N25" s="38">
        <f t="shared" si="3"/>
        <v>11</v>
      </c>
      <c r="O25" s="38">
        <f t="shared" si="3"/>
        <v>13.75</v>
      </c>
      <c r="P25" s="38">
        <f t="shared" si="3"/>
        <v>16.5</v>
      </c>
      <c r="Q25" s="38">
        <f t="shared" si="3"/>
        <v>19.25</v>
      </c>
      <c r="R25" s="41">
        <f t="shared" si="3"/>
        <v>22</v>
      </c>
      <c r="S25" s="62" t="s">
        <v>1</v>
      </c>
    </row>
    <row r="26" spans="1:19" s="1" customFormat="1">
      <c r="A26" s="126"/>
      <c r="B26" s="65">
        <v>60</v>
      </c>
      <c r="C26" s="38">
        <f t="shared" si="3"/>
        <v>0.6</v>
      </c>
      <c r="D26" s="38">
        <f t="shared" si="3"/>
        <v>1.2</v>
      </c>
      <c r="E26" s="38">
        <f t="shared" si="3"/>
        <v>1.8</v>
      </c>
      <c r="F26" s="38">
        <f t="shared" si="3"/>
        <v>2.4</v>
      </c>
      <c r="G26" s="38">
        <f t="shared" si="3"/>
        <v>3</v>
      </c>
      <c r="H26" s="38">
        <f t="shared" si="3"/>
        <v>3.6</v>
      </c>
      <c r="I26" s="38">
        <f t="shared" si="3"/>
        <v>4.2</v>
      </c>
      <c r="J26" s="38">
        <f t="shared" si="3"/>
        <v>4.8</v>
      </c>
      <c r="K26" s="38">
        <f t="shared" si="3"/>
        <v>5.4</v>
      </c>
      <c r="L26" s="38">
        <f t="shared" si="3"/>
        <v>6</v>
      </c>
      <c r="M26" s="38">
        <f t="shared" si="3"/>
        <v>9</v>
      </c>
      <c r="N26" s="38">
        <f t="shared" si="3"/>
        <v>12</v>
      </c>
      <c r="O26" s="38">
        <f t="shared" si="3"/>
        <v>15</v>
      </c>
      <c r="P26" s="38">
        <f t="shared" si="3"/>
        <v>18</v>
      </c>
      <c r="Q26" s="38">
        <f t="shared" si="3"/>
        <v>21</v>
      </c>
      <c r="R26" s="41">
        <f t="shared" si="3"/>
        <v>24</v>
      </c>
      <c r="S26" s="62" t="s">
        <v>1</v>
      </c>
    </row>
    <row r="27" spans="1:19" s="1" customFormat="1">
      <c r="A27" s="126"/>
      <c r="B27" s="65">
        <v>65</v>
      </c>
      <c r="C27" s="38">
        <f t="shared" si="3"/>
        <v>0.65</v>
      </c>
      <c r="D27" s="38">
        <f t="shared" si="3"/>
        <v>1.3</v>
      </c>
      <c r="E27" s="38">
        <f t="shared" si="3"/>
        <v>1.95</v>
      </c>
      <c r="F27" s="38">
        <f t="shared" si="3"/>
        <v>2.6</v>
      </c>
      <c r="G27" s="38">
        <f t="shared" si="3"/>
        <v>3.25</v>
      </c>
      <c r="H27" s="38">
        <f t="shared" si="3"/>
        <v>3.9</v>
      </c>
      <c r="I27" s="38">
        <f t="shared" si="3"/>
        <v>4.55</v>
      </c>
      <c r="J27" s="38">
        <f t="shared" si="3"/>
        <v>5.2</v>
      </c>
      <c r="K27" s="38">
        <f t="shared" si="3"/>
        <v>5.85</v>
      </c>
      <c r="L27" s="38">
        <f t="shared" si="3"/>
        <v>6.5</v>
      </c>
      <c r="M27" s="38">
        <f t="shared" si="3"/>
        <v>9.75</v>
      </c>
      <c r="N27" s="38">
        <f t="shared" si="3"/>
        <v>13</v>
      </c>
      <c r="O27" s="38">
        <f t="shared" si="3"/>
        <v>16.25</v>
      </c>
      <c r="P27" s="38">
        <f t="shared" si="3"/>
        <v>19.5</v>
      </c>
      <c r="Q27" s="38">
        <f t="shared" si="3"/>
        <v>22.75</v>
      </c>
      <c r="R27" s="41">
        <f t="shared" si="3"/>
        <v>26</v>
      </c>
      <c r="S27" s="62" t="s">
        <v>1</v>
      </c>
    </row>
    <row r="28" spans="1:19" s="1" customFormat="1">
      <c r="A28" s="126"/>
      <c r="B28" s="65">
        <v>70</v>
      </c>
      <c r="C28" s="38">
        <f t="shared" si="3"/>
        <v>0.7</v>
      </c>
      <c r="D28" s="38">
        <f t="shared" si="3"/>
        <v>1.4</v>
      </c>
      <c r="E28" s="38">
        <f t="shared" si="3"/>
        <v>2.1</v>
      </c>
      <c r="F28" s="38">
        <f t="shared" si="3"/>
        <v>2.8</v>
      </c>
      <c r="G28" s="38">
        <f t="shared" si="3"/>
        <v>3.5</v>
      </c>
      <c r="H28" s="38">
        <f t="shared" si="3"/>
        <v>4.2</v>
      </c>
      <c r="I28" s="38">
        <f t="shared" si="3"/>
        <v>4.9000000000000004</v>
      </c>
      <c r="J28" s="38">
        <f t="shared" si="3"/>
        <v>5.6</v>
      </c>
      <c r="K28" s="38">
        <f t="shared" si="3"/>
        <v>6.3</v>
      </c>
      <c r="L28" s="38">
        <f t="shared" si="3"/>
        <v>7</v>
      </c>
      <c r="M28" s="38">
        <f t="shared" si="3"/>
        <v>10.5</v>
      </c>
      <c r="N28" s="38">
        <f t="shared" si="3"/>
        <v>14</v>
      </c>
      <c r="O28" s="38">
        <f t="shared" si="3"/>
        <v>17.5</v>
      </c>
      <c r="P28" s="38">
        <f t="shared" si="3"/>
        <v>21</v>
      </c>
      <c r="Q28" s="38">
        <f t="shared" si="3"/>
        <v>24.5</v>
      </c>
      <c r="R28" s="41">
        <f t="shared" si="3"/>
        <v>28</v>
      </c>
      <c r="S28" s="62" t="s">
        <v>1</v>
      </c>
    </row>
    <row r="29" spans="1:19" s="1" customFormat="1">
      <c r="A29" s="126"/>
      <c r="B29" s="65">
        <v>75</v>
      </c>
      <c r="C29" s="38">
        <f t="shared" si="3"/>
        <v>0.75</v>
      </c>
      <c r="D29" s="38">
        <f t="shared" si="3"/>
        <v>1.5</v>
      </c>
      <c r="E29" s="38">
        <f t="shared" si="3"/>
        <v>2.25</v>
      </c>
      <c r="F29" s="38">
        <f t="shared" si="3"/>
        <v>3</v>
      </c>
      <c r="G29" s="38">
        <f t="shared" si="3"/>
        <v>3.75</v>
      </c>
      <c r="H29" s="38">
        <f t="shared" si="3"/>
        <v>4.5</v>
      </c>
      <c r="I29" s="38">
        <f t="shared" si="3"/>
        <v>5.25</v>
      </c>
      <c r="J29" s="38">
        <f t="shared" si="3"/>
        <v>6</v>
      </c>
      <c r="K29" s="38">
        <f t="shared" si="3"/>
        <v>6.75</v>
      </c>
      <c r="L29" s="38">
        <f t="shared" si="3"/>
        <v>7.5</v>
      </c>
      <c r="M29" s="38">
        <f t="shared" si="3"/>
        <v>11.25</v>
      </c>
      <c r="N29" s="38">
        <f t="shared" si="3"/>
        <v>15</v>
      </c>
      <c r="O29" s="38">
        <f t="shared" si="3"/>
        <v>18.75</v>
      </c>
      <c r="P29" s="38">
        <f t="shared" si="3"/>
        <v>22.5</v>
      </c>
      <c r="Q29" s="38">
        <f t="shared" si="3"/>
        <v>26.25</v>
      </c>
      <c r="R29" s="41">
        <f t="shared" si="3"/>
        <v>30</v>
      </c>
      <c r="S29" s="62" t="s">
        <v>1</v>
      </c>
    </row>
    <row r="30" spans="1:19" s="1" customFormat="1">
      <c r="A30" s="126"/>
      <c r="B30" s="65">
        <v>80</v>
      </c>
      <c r="C30" s="38">
        <f t="shared" si="3"/>
        <v>0.8</v>
      </c>
      <c r="D30" s="38">
        <f t="shared" si="3"/>
        <v>1.6</v>
      </c>
      <c r="E30" s="38">
        <f t="shared" si="3"/>
        <v>2.4</v>
      </c>
      <c r="F30" s="38">
        <f t="shared" si="3"/>
        <v>3.2</v>
      </c>
      <c r="G30" s="38">
        <f t="shared" si="3"/>
        <v>4</v>
      </c>
      <c r="H30" s="38">
        <f t="shared" si="3"/>
        <v>4.8</v>
      </c>
      <c r="I30" s="38">
        <f t="shared" si="3"/>
        <v>5.6</v>
      </c>
      <c r="J30" s="38">
        <f t="shared" si="3"/>
        <v>6.4</v>
      </c>
      <c r="K30" s="38">
        <f t="shared" si="3"/>
        <v>7.2</v>
      </c>
      <c r="L30" s="38">
        <f t="shared" si="3"/>
        <v>8</v>
      </c>
      <c r="M30" s="38">
        <f t="shared" si="3"/>
        <v>12</v>
      </c>
      <c r="N30" s="38">
        <f t="shared" si="3"/>
        <v>16</v>
      </c>
      <c r="O30" s="38">
        <f t="shared" si="3"/>
        <v>20</v>
      </c>
      <c r="P30" s="38">
        <f t="shared" si="3"/>
        <v>24</v>
      </c>
      <c r="Q30" s="38">
        <f t="shared" si="3"/>
        <v>28</v>
      </c>
      <c r="R30" s="41">
        <f t="shared" si="3"/>
        <v>32</v>
      </c>
      <c r="S30" s="62" t="s">
        <v>1</v>
      </c>
    </row>
    <row r="31" spans="1:19" s="1" customFormat="1">
      <c r="A31" s="126"/>
      <c r="B31" s="65">
        <v>85</v>
      </c>
      <c r="C31" s="38">
        <f t="shared" si="3"/>
        <v>0.85</v>
      </c>
      <c r="D31" s="38">
        <f t="shared" si="3"/>
        <v>1.7</v>
      </c>
      <c r="E31" s="38">
        <f t="shared" si="3"/>
        <v>2.5499999999999998</v>
      </c>
      <c r="F31" s="38">
        <f t="shared" si="3"/>
        <v>3.4</v>
      </c>
      <c r="G31" s="38">
        <f t="shared" si="3"/>
        <v>4.25</v>
      </c>
      <c r="H31" s="38">
        <f t="shared" si="3"/>
        <v>5.0999999999999996</v>
      </c>
      <c r="I31" s="38">
        <f t="shared" si="3"/>
        <v>5.9499999999999993</v>
      </c>
      <c r="J31" s="38">
        <f t="shared" si="3"/>
        <v>6.8</v>
      </c>
      <c r="K31" s="38">
        <f t="shared" si="3"/>
        <v>7.65</v>
      </c>
      <c r="L31" s="38">
        <f t="shared" si="3"/>
        <v>8.5</v>
      </c>
      <c r="M31" s="38">
        <f t="shared" si="3"/>
        <v>12.75</v>
      </c>
      <c r="N31" s="38">
        <f t="shared" si="3"/>
        <v>17</v>
      </c>
      <c r="O31" s="38">
        <f t="shared" si="3"/>
        <v>21.25</v>
      </c>
      <c r="P31" s="38">
        <f t="shared" si="3"/>
        <v>25.5</v>
      </c>
      <c r="Q31" s="38">
        <f t="shared" si="3"/>
        <v>29.75</v>
      </c>
      <c r="R31" s="41">
        <f t="shared" si="3"/>
        <v>34</v>
      </c>
      <c r="S31" s="62" t="s">
        <v>1</v>
      </c>
    </row>
    <row r="32" spans="1:19" s="1" customFormat="1">
      <c r="A32" s="126"/>
      <c r="B32" s="65">
        <v>90</v>
      </c>
      <c r="C32" s="38">
        <f t="shared" si="3"/>
        <v>0.9</v>
      </c>
      <c r="D32" s="38">
        <f t="shared" si="3"/>
        <v>1.8</v>
      </c>
      <c r="E32" s="38">
        <f t="shared" si="3"/>
        <v>2.7</v>
      </c>
      <c r="F32" s="38">
        <f t="shared" si="3"/>
        <v>3.6</v>
      </c>
      <c r="G32" s="38">
        <f t="shared" si="3"/>
        <v>4.5</v>
      </c>
      <c r="H32" s="38">
        <f t="shared" si="3"/>
        <v>5.4</v>
      </c>
      <c r="I32" s="38">
        <f t="shared" si="3"/>
        <v>6.2999999999999989</v>
      </c>
      <c r="J32" s="38">
        <f t="shared" si="3"/>
        <v>7.2</v>
      </c>
      <c r="K32" s="38">
        <f t="shared" si="3"/>
        <v>8.1</v>
      </c>
      <c r="L32" s="38">
        <f t="shared" si="3"/>
        <v>9</v>
      </c>
      <c r="M32" s="38">
        <f t="shared" si="3"/>
        <v>13.5</v>
      </c>
      <c r="N32" s="38">
        <f t="shared" si="3"/>
        <v>18</v>
      </c>
      <c r="O32" s="38">
        <f t="shared" si="3"/>
        <v>22.5</v>
      </c>
      <c r="P32" s="38">
        <f t="shared" si="3"/>
        <v>27</v>
      </c>
      <c r="Q32" s="38">
        <f t="shared" si="3"/>
        <v>31.5</v>
      </c>
      <c r="R32" s="41">
        <f t="shared" si="3"/>
        <v>36</v>
      </c>
      <c r="S32" s="62" t="s">
        <v>1</v>
      </c>
    </row>
    <row r="33" spans="1:19" s="1" customFormat="1">
      <c r="A33" s="126"/>
      <c r="B33" s="65">
        <v>95</v>
      </c>
      <c r="C33" s="38">
        <f t="shared" si="3"/>
        <v>0.95</v>
      </c>
      <c r="D33" s="38">
        <f t="shared" si="3"/>
        <v>1.9</v>
      </c>
      <c r="E33" s="38">
        <f t="shared" si="3"/>
        <v>2.85</v>
      </c>
      <c r="F33" s="38">
        <f t="shared" si="3"/>
        <v>3.8</v>
      </c>
      <c r="G33" s="38">
        <f t="shared" si="3"/>
        <v>4.75</v>
      </c>
      <c r="H33" s="38">
        <f t="shared" si="3"/>
        <v>5.7</v>
      </c>
      <c r="I33" s="38">
        <f t="shared" si="3"/>
        <v>6.65</v>
      </c>
      <c r="J33" s="38">
        <f t="shared" si="3"/>
        <v>7.6</v>
      </c>
      <c r="K33" s="38">
        <f t="shared" si="3"/>
        <v>8.5500000000000007</v>
      </c>
      <c r="L33" s="38">
        <f t="shared" si="3"/>
        <v>9.5</v>
      </c>
      <c r="M33" s="38">
        <f t="shared" si="3"/>
        <v>14.25</v>
      </c>
      <c r="N33" s="38">
        <f t="shared" si="3"/>
        <v>19</v>
      </c>
      <c r="O33" s="38">
        <f t="shared" si="3"/>
        <v>23.75</v>
      </c>
      <c r="P33" s="38">
        <f t="shared" si="3"/>
        <v>28.5</v>
      </c>
      <c r="Q33" s="38">
        <f t="shared" si="3"/>
        <v>33.25</v>
      </c>
      <c r="R33" s="41">
        <f t="shared" si="3"/>
        <v>38</v>
      </c>
      <c r="S33" s="62" t="s">
        <v>1</v>
      </c>
    </row>
    <row r="34" spans="1:19" s="1" customFormat="1">
      <c r="A34" s="126"/>
      <c r="B34" s="65">
        <v>100</v>
      </c>
      <c r="C34" s="38">
        <f t="shared" si="3"/>
        <v>1</v>
      </c>
      <c r="D34" s="38">
        <f t="shared" si="3"/>
        <v>2</v>
      </c>
      <c r="E34" s="38">
        <f t="shared" si="3"/>
        <v>3</v>
      </c>
      <c r="F34" s="38">
        <f t="shared" si="3"/>
        <v>4</v>
      </c>
      <c r="G34" s="38">
        <f t="shared" si="3"/>
        <v>5</v>
      </c>
      <c r="H34" s="38">
        <f t="shared" si="3"/>
        <v>6</v>
      </c>
      <c r="I34" s="38">
        <f t="shared" si="3"/>
        <v>7</v>
      </c>
      <c r="J34" s="38">
        <f t="shared" si="3"/>
        <v>8</v>
      </c>
      <c r="K34" s="38">
        <f t="shared" si="3"/>
        <v>9</v>
      </c>
      <c r="L34" s="38">
        <f t="shared" si="3"/>
        <v>10</v>
      </c>
      <c r="M34" s="38">
        <f t="shared" si="3"/>
        <v>15</v>
      </c>
      <c r="N34" s="38">
        <f t="shared" si="3"/>
        <v>20</v>
      </c>
      <c r="O34" s="38">
        <f t="shared" si="3"/>
        <v>25</v>
      </c>
      <c r="P34" s="38">
        <f t="shared" si="3"/>
        <v>30</v>
      </c>
      <c r="Q34" s="38">
        <f t="shared" si="3"/>
        <v>35</v>
      </c>
      <c r="R34" s="41">
        <f t="shared" si="3"/>
        <v>40</v>
      </c>
      <c r="S34" s="62" t="s">
        <v>1</v>
      </c>
    </row>
    <row r="35" spans="1:19" s="1" customFormat="1">
      <c r="A35" s="126"/>
      <c r="B35" s="65">
        <v>105</v>
      </c>
      <c r="C35" s="38">
        <f t="shared" si="3"/>
        <v>1.05</v>
      </c>
      <c r="D35" s="38">
        <f t="shared" si="3"/>
        <v>2.1</v>
      </c>
      <c r="E35" s="38">
        <f t="shared" si="3"/>
        <v>3.15</v>
      </c>
      <c r="F35" s="38">
        <f t="shared" si="3"/>
        <v>4.2</v>
      </c>
      <c r="G35" s="38">
        <f t="shared" si="3"/>
        <v>5.25</v>
      </c>
      <c r="H35" s="38">
        <f t="shared" si="3"/>
        <v>6.3</v>
      </c>
      <c r="I35" s="38">
        <f t="shared" si="3"/>
        <v>7.35</v>
      </c>
      <c r="J35" s="38">
        <f t="shared" si="3"/>
        <v>8.4</v>
      </c>
      <c r="K35" s="38">
        <f t="shared" si="3"/>
        <v>9.4499999999999993</v>
      </c>
      <c r="L35" s="38">
        <f t="shared" si="3"/>
        <v>10.5</v>
      </c>
      <c r="M35" s="38">
        <f t="shared" si="3"/>
        <v>15.75</v>
      </c>
      <c r="N35" s="38">
        <f t="shared" si="3"/>
        <v>21</v>
      </c>
      <c r="O35" s="38">
        <f t="shared" si="3"/>
        <v>26.25</v>
      </c>
      <c r="P35" s="38">
        <f t="shared" si="3"/>
        <v>31.5</v>
      </c>
      <c r="Q35" s="38">
        <f t="shared" si="3"/>
        <v>36.75</v>
      </c>
      <c r="R35" s="41">
        <f t="shared" si="3"/>
        <v>42</v>
      </c>
      <c r="S35" s="62" t="s">
        <v>1</v>
      </c>
    </row>
    <row r="36" spans="1:19" s="1" customFormat="1">
      <c r="A36" s="126"/>
      <c r="B36" s="65">
        <v>110</v>
      </c>
      <c r="C36" s="38">
        <f t="shared" si="3"/>
        <v>1.1000000000000001</v>
      </c>
      <c r="D36" s="38">
        <f t="shared" si="3"/>
        <v>2.2000000000000002</v>
      </c>
      <c r="E36" s="38">
        <f t="shared" si="3"/>
        <v>3.3</v>
      </c>
      <c r="F36" s="38">
        <f t="shared" si="3"/>
        <v>4.4000000000000004</v>
      </c>
      <c r="G36" s="38">
        <f t="shared" si="3"/>
        <v>5.5</v>
      </c>
      <c r="H36" s="38">
        <f t="shared" si="3"/>
        <v>6.6</v>
      </c>
      <c r="I36" s="38">
        <f t="shared" si="3"/>
        <v>7.7</v>
      </c>
      <c r="J36" s="38">
        <f t="shared" si="3"/>
        <v>8.8000000000000007</v>
      </c>
      <c r="K36" s="38">
        <f t="shared" si="3"/>
        <v>9.9</v>
      </c>
      <c r="L36" s="38">
        <f t="shared" si="3"/>
        <v>11</v>
      </c>
      <c r="M36" s="38">
        <f t="shared" si="3"/>
        <v>16.5</v>
      </c>
      <c r="N36" s="38">
        <f t="shared" si="3"/>
        <v>22</v>
      </c>
      <c r="O36" s="38">
        <f t="shared" si="3"/>
        <v>27.5</v>
      </c>
      <c r="P36" s="38">
        <f t="shared" si="3"/>
        <v>33</v>
      </c>
      <c r="Q36" s="38">
        <f t="shared" si="3"/>
        <v>38.5</v>
      </c>
      <c r="R36" s="41">
        <f t="shared" si="3"/>
        <v>44</v>
      </c>
      <c r="S36" s="62" t="s">
        <v>1</v>
      </c>
    </row>
    <row r="37" spans="1:19" s="1" customFormat="1">
      <c r="A37" s="126"/>
      <c r="B37" s="65">
        <v>115</v>
      </c>
      <c r="C37" s="38">
        <f t="shared" si="3"/>
        <v>1.1499999999999999</v>
      </c>
      <c r="D37" s="38">
        <f t="shared" si="3"/>
        <v>2.2999999999999998</v>
      </c>
      <c r="E37" s="38">
        <f t="shared" si="3"/>
        <v>3.45</v>
      </c>
      <c r="F37" s="38">
        <f t="shared" si="3"/>
        <v>4.5999999999999996</v>
      </c>
      <c r="G37" s="38">
        <f t="shared" si="3"/>
        <v>5.75</v>
      </c>
      <c r="H37" s="38">
        <f t="shared" si="3"/>
        <v>6.9</v>
      </c>
      <c r="I37" s="38">
        <f t="shared" si="3"/>
        <v>8.0500000000000007</v>
      </c>
      <c r="J37" s="38">
        <f t="shared" si="3"/>
        <v>9.1999999999999993</v>
      </c>
      <c r="K37" s="38">
        <f t="shared" si="3"/>
        <v>10.35</v>
      </c>
      <c r="L37" s="38">
        <f t="shared" si="3"/>
        <v>11.5</v>
      </c>
      <c r="M37" s="38">
        <f t="shared" si="3"/>
        <v>17.25</v>
      </c>
      <c r="N37" s="38">
        <f t="shared" si="3"/>
        <v>23</v>
      </c>
      <c r="O37" s="38">
        <f t="shared" si="3"/>
        <v>28.75</v>
      </c>
      <c r="P37" s="38">
        <f t="shared" si="3"/>
        <v>34.5</v>
      </c>
      <c r="Q37" s="38">
        <f t="shared" si="3"/>
        <v>40.25</v>
      </c>
      <c r="R37" s="41">
        <f t="shared" si="3"/>
        <v>46</v>
      </c>
      <c r="S37" s="62" t="s">
        <v>1</v>
      </c>
    </row>
    <row r="38" spans="1:19" s="1" customFormat="1" ht="15.75" thickBot="1">
      <c r="A38" s="127"/>
      <c r="B38" s="66">
        <v>120</v>
      </c>
      <c r="C38" s="39">
        <f t="shared" si="3"/>
        <v>1.2</v>
      </c>
      <c r="D38" s="39">
        <f t="shared" si="3"/>
        <v>2.4</v>
      </c>
      <c r="E38" s="39">
        <f t="shared" si="3"/>
        <v>3.6</v>
      </c>
      <c r="F38" s="39">
        <f t="shared" si="3"/>
        <v>4.8</v>
      </c>
      <c r="G38" s="39">
        <f t="shared" si="3"/>
        <v>6</v>
      </c>
      <c r="H38" s="39">
        <f t="shared" si="3"/>
        <v>7.2</v>
      </c>
      <c r="I38" s="39">
        <f t="shared" si="3"/>
        <v>8.4</v>
      </c>
      <c r="J38" s="39">
        <f t="shared" si="3"/>
        <v>9.6</v>
      </c>
      <c r="K38" s="39">
        <f t="shared" si="3"/>
        <v>10.8</v>
      </c>
      <c r="L38" s="39">
        <f t="shared" si="3"/>
        <v>12</v>
      </c>
      <c r="M38" s="39">
        <f t="shared" si="3"/>
        <v>18</v>
      </c>
      <c r="N38" s="39">
        <f t="shared" si="3"/>
        <v>24</v>
      </c>
      <c r="O38" s="39">
        <f t="shared" si="3"/>
        <v>30</v>
      </c>
      <c r="P38" s="39">
        <f t="shared" si="3"/>
        <v>36</v>
      </c>
      <c r="Q38" s="39">
        <f t="shared" si="3"/>
        <v>42</v>
      </c>
      <c r="R38" s="35">
        <f t="shared" si="3"/>
        <v>48</v>
      </c>
      <c r="S38" s="62" t="s">
        <v>1</v>
      </c>
    </row>
    <row r="39" spans="1:19" s="1" customFormat="1"/>
    <row r="40" spans="1:19" s="1" customFormat="1">
      <c r="E40" s="128" t="s">
        <v>53</v>
      </c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</row>
    <row r="41" spans="1:19" s="1" customFormat="1"/>
    <row r="42" spans="1:19" s="1" customFormat="1"/>
    <row r="43" spans="1:19" s="1" customFormat="1"/>
    <row r="44" spans="1:19" s="1" customFormat="1"/>
    <row r="45" spans="1:19" s="1" customFormat="1"/>
    <row r="46" spans="1:19" s="1" customFormat="1"/>
    <row r="47" spans="1:19" s="1" customFormat="1"/>
    <row r="48" spans="1:19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</sheetData>
  <mergeCells count="4">
    <mergeCell ref="A5:A20"/>
    <mergeCell ref="A24:A38"/>
    <mergeCell ref="E40:R40"/>
    <mergeCell ref="B1:R1"/>
  </mergeCells>
  <conditionalFormatting sqref="C6:I20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C24:R38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78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49"/>
  <sheetViews>
    <sheetView workbookViewId="0">
      <selection activeCell="B13" sqref="B13:B27"/>
    </sheetView>
  </sheetViews>
  <sheetFormatPr defaultRowHeight="15"/>
  <sheetData>
    <row r="1" spans="1:28" ht="23.25" customHeight="1" thickBot="1">
      <c r="A1" s="136" t="s">
        <v>75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8"/>
    </row>
    <row r="2" spans="1:28">
      <c r="A2" s="21" t="s">
        <v>76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0"/>
    </row>
    <row r="3" spans="1:28">
      <c r="A3" s="21" t="s">
        <v>80</v>
      </c>
      <c r="B3" s="12"/>
      <c r="C3" s="12"/>
      <c r="D3" s="12"/>
      <c r="E3" s="12"/>
      <c r="F3" s="12" t="s">
        <v>77</v>
      </c>
      <c r="G3" s="12"/>
      <c r="H3" s="12"/>
      <c r="I3" s="12" t="s">
        <v>79</v>
      </c>
      <c r="J3" s="12" t="s">
        <v>78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20"/>
    </row>
    <row r="4" spans="1:28">
      <c r="A4" s="21" t="s">
        <v>81</v>
      </c>
      <c r="B4" s="12"/>
      <c r="C4" s="12"/>
      <c r="D4" s="12"/>
      <c r="E4" s="12"/>
      <c r="F4" s="12" t="s">
        <v>82</v>
      </c>
      <c r="G4" s="12"/>
      <c r="H4" s="12"/>
      <c r="I4" s="12" t="s">
        <v>83</v>
      </c>
      <c r="J4" s="12" t="s">
        <v>84</v>
      </c>
      <c r="K4" s="12"/>
      <c r="L4" s="12" t="s">
        <v>85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20"/>
    </row>
    <row r="5" spans="1:28">
      <c r="A5" s="2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20"/>
    </row>
    <row r="6" spans="1:28">
      <c r="A6" s="21" t="s">
        <v>86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20"/>
    </row>
    <row r="7" spans="1:28">
      <c r="A7" s="21" t="s">
        <v>87</v>
      </c>
      <c r="B7" s="12"/>
      <c r="C7" s="12"/>
      <c r="D7" s="12"/>
      <c r="E7" s="12"/>
      <c r="F7" s="12" t="s">
        <v>89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20"/>
    </row>
    <row r="8" spans="1:28" ht="15.75" thickBot="1">
      <c r="A8" s="21" t="s">
        <v>88</v>
      </c>
      <c r="B8" s="12"/>
      <c r="C8" s="12"/>
      <c r="D8" s="12"/>
      <c r="E8" s="12"/>
      <c r="F8" s="12" t="s">
        <v>89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20"/>
    </row>
    <row r="9" spans="1:28" ht="15.75" thickBot="1">
      <c r="A9" s="24"/>
      <c r="B9" s="46"/>
      <c r="C9" s="46"/>
      <c r="D9" s="46"/>
      <c r="E9" s="46"/>
      <c r="F9" s="46"/>
      <c r="G9" s="46"/>
      <c r="H9" s="46"/>
      <c r="I9" s="46"/>
      <c r="J9" s="18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7"/>
    </row>
    <row r="10" spans="1:28">
      <c r="A10" s="140" t="s">
        <v>92</v>
      </c>
      <c r="B10" s="12"/>
      <c r="C10" s="12"/>
      <c r="D10" s="12"/>
      <c r="E10" s="12"/>
      <c r="F10" s="12"/>
      <c r="G10" s="12"/>
      <c r="H10" s="12"/>
      <c r="I10" s="12"/>
      <c r="J10" s="140" t="s">
        <v>93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20"/>
    </row>
    <row r="11" spans="1:28">
      <c r="A11" s="141"/>
      <c r="B11" s="143" t="s">
        <v>90</v>
      </c>
      <c r="C11" s="143"/>
      <c r="D11" s="143"/>
      <c r="E11" s="143"/>
      <c r="F11" s="143"/>
      <c r="G11" s="143"/>
      <c r="H11" s="143"/>
      <c r="I11" s="143"/>
      <c r="J11" s="141"/>
      <c r="K11" s="143" t="s">
        <v>90</v>
      </c>
      <c r="L11" s="143"/>
      <c r="M11" s="143"/>
      <c r="N11" s="143"/>
      <c r="O11" s="143"/>
      <c r="P11" s="143"/>
      <c r="Q11" s="143"/>
      <c r="R11" s="143"/>
      <c r="S11" s="12"/>
      <c r="T11" s="12"/>
      <c r="U11" s="12"/>
      <c r="V11" s="12"/>
      <c r="W11" s="12"/>
      <c r="X11" s="12"/>
      <c r="Y11" s="12"/>
      <c r="Z11" s="12"/>
      <c r="AA11" s="12"/>
      <c r="AB11" s="20"/>
    </row>
    <row r="12" spans="1:28">
      <c r="A12" s="141"/>
      <c r="B12" s="12"/>
      <c r="C12" s="144">
        <v>1</v>
      </c>
      <c r="D12" s="144">
        <v>1.1000000000000001</v>
      </c>
      <c r="E12" s="144">
        <v>1.2</v>
      </c>
      <c r="F12" s="144">
        <v>1.3</v>
      </c>
      <c r="G12" s="144">
        <v>1.4</v>
      </c>
      <c r="H12" s="144">
        <v>1.5</v>
      </c>
      <c r="I12" s="12" t="s">
        <v>91</v>
      </c>
      <c r="J12" s="141"/>
      <c r="K12" s="12"/>
      <c r="L12" s="144">
        <v>50</v>
      </c>
      <c r="M12" s="144">
        <v>55</v>
      </c>
      <c r="N12" s="144">
        <v>60</v>
      </c>
      <c r="O12" s="144">
        <v>65</v>
      </c>
      <c r="P12" s="144">
        <v>70</v>
      </c>
      <c r="Q12" s="144">
        <v>75</v>
      </c>
      <c r="R12" s="144">
        <v>80</v>
      </c>
      <c r="S12" s="144">
        <v>85</v>
      </c>
      <c r="T12" s="144">
        <v>90</v>
      </c>
      <c r="U12" s="144">
        <v>95</v>
      </c>
      <c r="V12" s="144">
        <v>100</v>
      </c>
      <c r="W12" s="144">
        <v>120</v>
      </c>
      <c r="X12" s="144">
        <v>140</v>
      </c>
      <c r="Y12" s="144">
        <v>160</v>
      </c>
      <c r="Z12" s="144">
        <v>180</v>
      </c>
      <c r="AA12" s="144">
        <v>200</v>
      </c>
      <c r="AB12" s="20" t="s">
        <v>91</v>
      </c>
    </row>
    <row r="13" spans="1:28">
      <c r="A13" s="141"/>
      <c r="B13" s="145">
        <v>50</v>
      </c>
      <c r="C13" s="72">
        <f>$B13*C$12/5</f>
        <v>10</v>
      </c>
      <c r="D13" s="72">
        <f>$B13*D$12/5</f>
        <v>11.000000000000002</v>
      </c>
      <c r="E13" s="72">
        <f>$B13*E$12/5</f>
        <v>12</v>
      </c>
      <c r="F13" s="72">
        <f>$B13*F$12/5</f>
        <v>13</v>
      </c>
      <c r="G13" s="72">
        <f>$B13*G$12/5</f>
        <v>14</v>
      </c>
      <c r="H13" s="72">
        <f>$B13*H$12/5</f>
        <v>15</v>
      </c>
      <c r="I13" s="12" t="s">
        <v>68</v>
      </c>
      <c r="J13" s="141"/>
      <c r="K13" s="145">
        <v>50</v>
      </c>
      <c r="L13" s="146">
        <f>L$12*$K13*60/5000</f>
        <v>30</v>
      </c>
      <c r="M13" s="146">
        <f>M$12*$K13*60/5000</f>
        <v>33</v>
      </c>
      <c r="N13" s="146">
        <f t="shared" ref="N13:AA14" si="0">N$12*$K13*60/5000</f>
        <v>36</v>
      </c>
      <c r="O13" s="146">
        <f t="shared" si="0"/>
        <v>39</v>
      </c>
      <c r="P13" s="146">
        <f t="shared" si="0"/>
        <v>42</v>
      </c>
      <c r="Q13" s="146">
        <f t="shared" si="0"/>
        <v>45</v>
      </c>
      <c r="R13" s="146">
        <f t="shared" si="0"/>
        <v>48</v>
      </c>
      <c r="S13" s="146">
        <f t="shared" si="0"/>
        <v>51</v>
      </c>
      <c r="T13" s="146">
        <f t="shared" si="0"/>
        <v>54</v>
      </c>
      <c r="U13" s="146">
        <f t="shared" si="0"/>
        <v>57</v>
      </c>
      <c r="V13" s="146">
        <f t="shared" si="0"/>
        <v>60</v>
      </c>
      <c r="W13" s="146">
        <f t="shared" si="0"/>
        <v>72</v>
      </c>
      <c r="X13" s="146">
        <f t="shared" si="0"/>
        <v>84</v>
      </c>
      <c r="Y13" s="146">
        <f t="shared" si="0"/>
        <v>96</v>
      </c>
      <c r="Z13" s="146">
        <f t="shared" si="0"/>
        <v>108</v>
      </c>
      <c r="AA13" s="146">
        <f t="shared" si="0"/>
        <v>120</v>
      </c>
      <c r="AB13" s="20" t="s">
        <v>96</v>
      </c>
    </row>
    <row r="14" spans="1:28">
      <c r="A14" s="141"/>
      <c r="B14" s="145">
        <v>55</v>
      </c>
      <c r="C14" s="72">
        <f>$B14*C$12/5</f>
        <v>11</v>
      </c>
      <c r="D14" s="72">
        <f>$B14*D$12/5</f>
        <v>12.100000000000001</v>
      </c>
      <c r="E14" s="72">
        <f>$B14*E$12/5</f>
        <v>13.2</v>
      </c>
      <c r="F14" s="72">
        <f>$B14*F$12/5</f>
        <v>14.3</v>
      </c>
      <c r="G14" s="72">
        <f>$B14*G$12/5</f>
        <v>15.4</v>
      </c>
      <c r="H14" s="72">
        <f>$B14*H$12/5</f>
        <v>16.5</v>
      </c>
      <c r="I14" s="12" t="s">
        <v>68</v>
      </c>
      <c r="J14" s="141"/>
      <c r="K14" s="145">
        <v>55</v>
      </c>
      <c r="L14" s="146">
        <f>L$12*$K14*60/5000</f>
        <v>33</v>
      </c>
      <c r="M14" s="146">
        <f>M$12*$K14*60/5000</f>
        <v>36.299999999999997</v>
      </c>
      <c r="N14" s="146">
        <f t="shared" si="0"/>
        <v>39.6</v>
      </c>
      <c r="O14" s="146">
        <f t="shared" si="0"/>
        <v>42.9</v>
      </c>
      <c r="P14" s="146">
        <f t="shared" si="0"/>
        <v>46.2</v>
      </c>
      <c r="Q14" s="146">
        <f t="shared" si="0"/>
        <v>49.5</v>
      </c>
      <c r="R14" s="146">
        <f t="shared" si="0"/>
        <v>52.8</v>
      </c>
      <c r="S14" s="146">
        <f t="shared" si="0"/>
        <v>56.1</v>
      </c>
      <c r="T14" s="146">
        <f t="shared" si="0"/>
        <v>59.4</v>
      </c>
      <c r="U14" s="146">
        <f t="shared" si="0"/>
        <v>62.7</v>
      </c>
      <c r="V14" s="146">
        <f t="shared" si="0"/>
        <v>66</v>
      </c>
      <c r="W14" s="146">
        <f t="shared" si="0"/>
        <v>79.2</v>
      </c>
      <c r="X14" s="146">
        <f t="shared" si="0"/>
        <v>92.4</v>
      </c>
      <c r="Y14" s="146">
        <f t="shared" si="0"/>
        <v>105.6</v>
      </c>
      <c r="Z14" s="146">
        <f t="shared" si="0"/>
        <v>118.8</v>
      </c>
      <c r="AA14" s="146">
        <f t="shared" si="0"/>
        <v>132</v>
      </c>
      <c r="AB14" s="20" t="s">
        <v>96</v>
      </c>
    </row>
    <row r="15" spans="1:28">
      <c r="A15" s="141"/>
      <c r="B15" s="145">
        <v>60</v>
      </c>
      <c r="C15" s="72">
        <f>$B15*C$12/5</f>
        <v>12</v>
      </c>
      <c r="D15" s="72">
        <f>$B15*D$12/5</f>
        <v>13.2</v>
      </c>
      <c r="E15" s="72">
        <f>$B15*E$12/5</f>
        <v>14.4</v>
      </c>
      <c r="F15" s="72">
        <f>$B15*F$12/5</f>
        <v>15.6</v>
      </c>
      <c r="G15" s="72">
        <f>$B15*G$12/5</f>
        <v>16.8</v>
      </c>
      <c r="H15" s="72">
        <f>$B15*H$12/5</f>
        <v>18</v>
      </c>
      <c r="I15" s="12" t="s">
        <v>68</v>
      </c>
      <c r="J15" s="141"/>
      <c r="K15" s="145">
        <v>60</v>
      </c>
      <c r="L15" s="146">
        <f t="shared" ref="L15:AA27" si="1">L$12*$K15*60/5000</f>
        <v>36</v>
      </c>
      <c r="M15" s="146">
        <f t="shared" si="1"/>
        <v>39.6</v>
      </c>
      <c r="N15" s="146">
        <f t="shared" si="1"/>
        <v>43.2</v>
      </c>
      <c r="O15" s="146">
        <f t="shared" si="1"/>
        <v>46.8</v>
      </c>
      <c r="P15" s="146">
        <f t="shared" si="1"/>
        <v>50.4</v>
      </c>
      <c r="Q15" s="146">
        <f t="shared" si="1"/>
        <v>54</v>
      </c>
      <c r="R15" s="146">
        <f t="shared" si="1"/>
        <v>57.6</v>
      </c>
      <c r="S15" s="146">
        <f t="shared" si="1"/>
        <v>61.2</v>
      </c>
      <c r="T15" s="146">
        <f t="shared" si="1"/>
        <v>64.8</v>
      </c>
      <c r="U15" s="146">
        <f t="shared" si="1"/>
        <v>68.400000000000006</v>
      </c>
      <c r="V15" s="146">
        <f t="shared" si="1"/>
        <v>72</v>
      </c>
      <c r="W15" s="146">
        <f t="shared" si="1"/>
        <v>86.4</v>
      </c>
      <c r="X15" s="146">
        <f t="shared" si="1"/>
        <v>100.8</v>
      </c>
      <c r="Y15" s="146">
        <f t="shared" si="1"/>
        <v>115.2</v>
      </c>
      <c r="Z15" s="146">
        <f t="shared" si="1"/>
        <v>129.6</v>
      </c>
      <c r="AA15" s="146">
        <f t="shared" si="1"/>
        <v>144</v>
      </c>
      <c r="AB15" s="20" t="s">
        <v>96</v>
      </c>
    </row>
    <row r="16" spans="1:28">
      <c r="A16" s="141"/>
      <c r="B16" s="145">
        <v>65</v>
      </c>
      <c r="C16" s="72">
        <f>$B16*C$12/5</f>
        <v>13</v>
      </c>
      <c r="D16" s="72">
        <f>$B16*D$12/5</f>
        <v>14.3</v>
      </c>
      <c r="E16" s="72">
        <f>$B16*E$12/5</f>
        <v>15.6</v>
      </c>
      <c r="F16" s="72">
        <f>$B16*F$12/5</f>
        <v>16.899999999999999</v>
      </c>
      <c r="G16" s="72">
        <f>$B16*G$12/5</f>
        <v>18.2</v>
      </c>
      <c r="H16" s="72">
        <f>$B16*H$12/5</f>
        <v>19.5</v>
      </c>
      <c r="I16" s="12" t="s">
        <v>68</v>
      </c>
      <c r="J16" s="141"/>
      <c r="K16" s="145">
        <v>65</v>
      </c>
      <c r="L16" s="146">
        <f t="shared" si="1"/>
        <v>39</v>
      </c>
      <c r="M16" s="146">
        <f t="shared" si="1"/>
        <v>42.9</v>
      </c>
      <c r="N16" s="146">
        <f t="shared" si="1"/>
        <v>46.8</v>
      </c>
      <c r="O16" s="146">
        <f t="shared" si="1"/>
        <v>50.7</v>
      </c>
      <c r="P16" s="146">
        <f t="shared" si="1"/>
        <v>54.6</v>
      </c>
      <c r="Q16" s="146">
        <f t="shared" si="1"/>
        <v>58.5</v>
      </c>
      <c r="R16" s="146">
        <f t="shared" si="1"/>
        <v>62.4</v>
      </c>
      <c r="S16" s="146">
        <f t="shared" si="1"/>
        <v>66.3</v>
      </c>
      <c r="T16" s="146">
        <f t="shared" si="1"/>
        <v>70.2</v>
      </c>
      <c r="U16" s="146">
        <f t="shared" si="1"/>
        <v>74.099999999999994</v>
      </c>
      <c r="V16" s="146">
        <f t="shared" si="1"/>
        <v>78</v>
      </c>
      <c r="W16" s="146">
        <f t="shared" si="1"/>
        <v>93.6</v>
      </c>
      <c r="X16" s="146">
        <f t="shared" si="1"/>
        <v>109.2</v>
      </c>
      <c r="Y16" s="146">
        <f t="shared" si="1"/>
        <v>124.8</v>
      </c>
      <c r="Z16" s="146">
        <f t="shared" si="1"/>
        <v>140.4</v>
      </c>
      <c r="AA16" s="146">
        <f t="shared" si="1"/>
        <v>156</v>
      </c>
      <c r="AB16" s="20" t="s">
        <v>96</v>
      </c>
    </row>
    <row r="17" spans="1:28">
      <c r="A17" s="141"/>
      <c r="B17" s="145">
        <v>70</v>
      </c>
      <c r="C17" s="72">
        <f>$B17*C$12/5</f>
        <v>14</v>
      </c>
      <c r="D17" s="72">
        <f>$B17*D$12/5</f>
        <v>15.4</v>
      </c>
      <c r="E17" s="72">
        <f>$B17*E$12/5</f>
        <v>16.8</v>
      </c>
      <c r="F17" s="72">
        <f>$B17*F$12/5</f>
        <v>18.2</v>
      </c>
      <c r="G17" s="72">
        <f>$B17*G$12/5</f>
        <v>19.600000000000001</v>
      </c>
      <c r="H17" s="72">
        <f>$B17*H$12/5</f>
        <v>21</v>
      </c>
      <c r="I17" s="12" t="s">
        <v>68</v>
      </c>
      <c r="J17" s="141"/>
      <c r="K17" s="145">
        <v>70</v>
      </c>
      <c r="L17" s="146">
        <f t="shared" si="1"/>
        <v>42</v>
      </c>
      <c r="M17" s="146">
        <f t="shared" si="1"/>
        <v>46.2</v>
      </c>
      <c r="N17" s="146">
        <f t="shared" si="1"/>
        <v>50.4</v>
      </c>
      <c r="O17" s="146">
        <f t="shared" si="1"/>
        <v>54.6</v>
      </c>
      <c r="P17" s="146">
        <f t="shared" si="1"/>
        <v>58.8</v>
      </c>
      <c r="Q17" s="146">
        <f t="shared" si="1"/>
        <v>63</v>
      </c>
      <c r="R17" s="146">
        <f t="shared" si="1"/>
        <v>67.2</v>
      </c>
      <c r="S17" s="146">
        <f t="shared" si="1"/>
        <v>71.400000000000006</v>
      </c>
      <c r="T17" s="146">
        <f t="shared" si="1"/>
        <v>75.599999999999994</v>
      </c>
      <c r="U17" s="146">
        <f t="shared" si="1"/>
        <v>79.8</v>
      </c>
      <c r="V17" s="146">
        <f t="shared" si="1"/>
        <v>84</v>
      </c>
      <c r="W17" s="146">
        <f t="shared" si="1"/>
        <v>100.8</v>
      </c>
      <c r="X17" s="146">
        <f t="shared" si="1"/>
        <v>117.6</v>
      </c>
      <c r="Y17" s="146">
        <f t="shared" si="1"/>
        <v>134.4</v>
      </c>
      <c r="Z17" s="146">
        <f t="shared" si="1"/>
        <v>151.19999999999999</v>
      </c>
      <c r="AA17" s="146">
        <f t="shared" si="1"/>
        <v>168</v>
      </c>
      <c r="AB17" s="20" t="s">
        <v>96</v>
      </c>
    </row>
    <row r="18" spans="1:28">
      <c r="A18" s="141"/>
      <c r="B18" s="145">
        <v>75</v>
      </c>
      <c r="C18" s="72">
        <f>$B18*C$12/5</f>
        <v>15</v>
      </c>
      <c r="D18" s="72">
        <f>$B18*D$12/5</f>
        <v>16.5</v>
      </c>
      <c r="E18" s="72">
        <f>$B18*E$12/5</f>
        <v>18</v>
      </c>
      <c r="F18" s="72">
        <f>$B18*F$12/5</f>
        <v>19.5</v>
      </c>
      <c r="G18" s="72">
        <f>$B18*G$12/5</f>
        <v>21</v>
      </c>
      <c r="H18" s="72">
        <f>$B18*H$12/5</f>
        <v>22.5</v>
      </c>
      <c r="I18" s="12" t="s">
        <v>68</v>
      </c>
      <c r="J18" s="141"/>
      <c r="K18" s="145">
        <v>75</v>
      </c>
      <c r="L18" s="146">
        <f t="shared" si="1"/>
        <v>45</v>
      </c>
      <c r="M18" s="146">
        <f t="shared" si="1"/>
        <v>49.5</v>
      </c>
      <c r="N18" s="146">
        <f t="shared" si="1"/>
        <v>54</v>
      </c>
      <c r="O18" s="146">
        <f t="shared" si="1"/>
        <v>58.5</v>
      </c>
      <c r="P18" s="146">
        <f t="shared" si="1"/>
        <v>63</v>
      </c>
      <c r="Q18" s="146">
        <f t="shared" si="1"/>
        <v>67.5</v>
      </c>
      <c r="R18" s="146">
        <f t="shared" si="1"/>
        <v>72</v>
      </c>
      <c r="S18" s="146">
        <f t="shared" si="1"/>
        <v>76.5</v>
      </c>
      <c r="T18" s="146">
        <f t="shared" si="1"/>
        <v>81</v>
      </c>
      <c r="U18" s="146">
        <f t="shared" si="1"/>
        <v>85.5</v>
      </c>
      <c r="V18" s="146">
        <f t="shared" si="1"/>
        <v>90</v>
      </c>
      <c r="W18" s="146">
        <f t="shared" si="1"/>
        <v>108</v>
      </c>
      <c r="X18" s="146">
        <f t="shared" si="1"/>
        <v>126</v>
      </c>
      <c r="Y18" s="146">
        <f t="shared" si="1"/>
        <v>144</v>
      </c>
      <c r="Z18" s="146">
        <f t="shared" si="1"/>
        <v>162</v>
      </c>
      <c r="AA18" s="146">
        <f t="shared" si="1"/>
        <v>180</v>
      </c>
      <c r="AB18" s="20" t="s">
        <v>96</v>
      </c>
    </row>
    <row r="19" spans="1:28">
      <c r="A19" s="141"/>
      <c r="B19" s="145">
        <v>80</v>
      </c>
      <c r="C19" s="72">
        <f>$B19*C$12/5</f>
        <v>16</v>
      </c>
      <c r="D19" s="72">
        <f>$B19*D$12/5</f>
        <v>17.600000000000001</v>
      </c>
      <c r="E19" s="72">
        <f>$B19*E$12/5</f>
        <v>19.2</v>
      </c>
      <c r="F19" s="72">
        <f>$B19*F$12/5</f>
        <v>20.8</v>
      </c>
      <c r="G19" s="72">
        <f>$B19*G$12/5</f>
        <v>22.4</v>
      </c>
      <c r="H19" s="72">
        <f>$B19*H$12/5</f>
        <v>24</v>
      </c>
      <c r="I19" s="12" t="s">
        <v>68</v>
      </c>
      <c r="J19" s="141"/>
      <c r="K19" s="145">
        <v>80</v>
      </c>
      <c r="L19" s="146">
        <f t="shared" si="1"/>
        <v>48</v>
      </c>
      <c r="M19" s="146">
        <f t="shared" si="1"/>
        <v>52.8</v>
      </c>
      <c r="N19" s="146">
        <f t="shared" si="1"/>
        <v>57.6</v>
      </c>
      <c r="O19" s="146">
        <f t="shared" si="1"/>
        <v>62.4</v>
      </c>
      <c r="P19" s="146">
        <f t="shared" si="1"/>
        <v>67.2</v>
      </c>
      <c r="Q19" s="146">
        <f t="shared" si="1"/>
        <v>72</v>
      </c>
      <c r="R19" s="146">
        <f t="shared" si="1"/>
        <v>76.8</v>
      </c>
      <c r="S19" s="146">
        <f t="shared" si="1"/>
        <v>81.599999999999994</v>
      </c>
      <c r="T19" s="146">
        <f t="shared" si="1"/>
        <v>86.4</v>
      </c>
      <c r="U19" s="146">
        <f t="shared" si="1"/>
        <v>91.2</v>
      </c>
      <c r="V19" s="146">
        <f t="shared" si="1"/>
        <v>96</v>
      </c>
      <c r="W19" s="146">
        <f t="shared" si="1"/>
        <v>115.2</v>
      </c>
      <c r="X19" s="146">
        <f t="shared" si="1"/>
        <v>134.4</v>
      </c>
      <c r="Y19" s="146">
        <f t="shared" si="1"/>
        <v>153.6</v>
      </c>
      <c r="Z19" s="146">
        <f t="shared" si="1"/>
        <v>172.8</v>
      </c>
      <c r="AA19" s="146">
        <f t="shared" si="1"/>
        <v>192</v>
      </c>
      <c r="AB19" s="20" t="s">
        <v>96</v>
      </c>
    </row>
    <row r="20" spans="1:28">
      <c r="A20" s="141"/>
      <c r="B20" s="145">
        <v>85</v>
      </c>
      <c r="C20" s="72">
        <f>$B20*C$12/5</f>
        <v>17</v>
      </c>
      <c r="D20" s="72">
        <f>$B20*D$12/5</f>
        <v>18.700000000000003</v>
      </c>
      <c r="E20" s="72">
        <f>$B20*E$12/5</f>
        <v>20.399999999999999</v>
      </c>
      <c r="F20" s="72">
        <f>$B20*F$12/5</f>
        <v>22.1</v>
      </c>
      <c r="G20" s="72">
        <f>$B20*G$12/5</f>
        <v>23.799999999999997</v>
      </c>
      <c r="H20" s="72">
        <f>$B20*H$12/5</f>
        <v>25.5</v>
      </c>
      <c r="I20" s="12" t="s">
        <v>68</v>
      </c>
      <c r="J20" s="141"/>
      <c r="K20" s="145">
        <v>85</v>
      </c>
      <c r="L20" s="146">
        <f t="shared" si="1"/>
        <v>51</v>
      </c>
      <c r="M20" s="146">
        <f t="shared" si="1"/>
        <v>56.1</v>
      </c>
      <c r="N20" s="146">
        <f t="shared" si="1"/>
        <v>61.2</v>
      </c>
      <c r="O20" s="146">
        <f t="shared" si="1"/>
        <v>66.3</v>
      </c>
      <c r="P20" s="146">
        <f t="shared" si="1"/>
        <v>71.400000000000006</v>
      </c>
      <c r="Q20" s="146">
        <f t="shared" si="1"/>
        <v>76.5</v>
      </c>
      <c r="R20" s="146">
        <f t="shared" si="1"/>
        <v>81.599999999999994</v>
      </c>
      <c r="S20" s="146">
        <f t="shared" si="1"/>
        <v>86.7</v>
      </c>
      <c r="T20" s="146">
        <f t="shared" si="1"/>
        <v>91.8</v>
      </c>
      <c r="U20" s="146">
        <f t="shared" si="1"/>
        <v>96.9</v>
      </c>
      <c r="V20" s="146">
        <f t="shared" si="1"/>
        <v>102</v>
      </c>
      <c r="W20" s="146">
        <f t="shared" si="1"/>
        <v>122.4</v>
      </c>
      <c r="X20" s="146">
        <f t="shared" si="1"/>
        <v>142.80000000000001</v>
      </c>
      <c r="Y20" s="146">
        <f t="shared" si="1"/>
        <v>163.19999999999999</v>
      </c>
      <c r="Z20" s="146">
        <f t="shared" si="1"/>
        <v>183.6</v>
      </c>
      <c r="AA20" s="146">
        <f t="shared" si="1"/>
        <v>204</v>
      </c>
      <c r="AB20" s="20" t="s">
        <v>96</v>
      </c>
    </row>
    <row r="21" spans="1:28">
      <c r="A21" s="141"/>
      <c r="B21" s="145">
        <v>90</v>
      </c>
      <c r="C21" s="72">
        <f>$B21*C$12/5</f>
        <v>18</v>
      </c>
      <c r="D21" s="72">
        <f>$B21*D$12/5</f>
        <v>19.800000000000004</v>
      </c>
      <c r="E21" s="72">
        <f>$B21*E$12/5</f>
        <v>21.6</v>
      </c>
      <c r="F21" s="72">
        <f>$B21*F$12/5</f>
        <v>23.4</v>
      </c>
      <c r="G21" s="72">
        <f>$B21*G$12/5</f>
        <v>25.199999999999996</v>
      </c>
      <c r="H21" s="72">
        <f>$B21*H$12/5</f>
        <v>27</v>
      </c>
      <c r="I21" s="12" t="s">
        <v>68</v>
      </c>
      <c r="J21" s="141"/>
      <c r="K21" s="145">
        <v>90</v>
      </c>
      <c r="L21" s="146">
        <f t="shared" si="1"/>
        <v>54</v>
      </c>
      <c r="M21" s="146">
        <f t="shared" si="1"/>
        <v>59.4</v>
      </c>
      <c r="N21" s="146">
        <f t="shared" si="1"/>
        <v>64.8</v>
      </c>
      <c r="O21" s="146">
        <f t="shared" si="1"/>
        <v>70.2</v>
      </c>
      <c r="P21" s="146">
        <f t="shared" si="1"/>
        <v>75.599999999999994</v>
      </c>
      <c r="Q21" s="146">
        <f t="shared" si="1"/>
        <v>81</v>
      </c>
      <c r="R21" s="146">
        <f t="shared" si="1"/>
        <v>86.4</v>
      </c>
      <c r="S21" s="146">
        <f t="shared" si="1"/>
        <v>91.8</v>
      </c>
      <c r="T21" s="146">
        <f t="shared" si="1"/>
        <v>97.2</v>
      </c>
      <c r="U21" s="146">
        <f t="shared" si="1"/>
        <v>102.6</v>
      </c>
      <c r="V21" s="146">
        <f t="shared" si="1"/>
        <v>108</v>
      </c>
      <c r="W21" s="146">
        <f t="shared" si="1"/>
        <v>129.6</v>
      </c>
      <c r="X21" s="146">
        <f t="shared" si="1"/>
        <v>151.19999999999999</v>
      </c>
      <c r="Y21" s="146">
        <f t="shared" si="1"/>
        <v>172.8</v>
      </c>
      <c r="Z21" s="146">
        <f t="shared" si="1"/>
        <v>194.4</v>
      </c>
      <c r="AA21" s="146">
        <f t="shared" si="1"/>
        <v>216</v>
      </c>
      <c r="AB21" s="20" t="s">
        <v>96</v>
      </c>
    </row>
    <row r="22" spans="1:28">
      <c r="A22" s="141"/>
      <c r="B22" s="145">
        <v>95</v>
      </c>
      <c r="C22" s="72">
        <f>$B22*C$12/5</f>
        <v>19</v>
      </c>
      <c r="D22" s="72">
        <f>$B22*D$12/5</f>
        <v>20.900000000000002</v>
      </c>
      <c r="E22" s="72">
        <f>$B22*E$12/5</f>
        <v>22.8</v>
      </c>
      <c r="F22" s="72">
        <f>$B22*F$12/5</f>
        <v>24.7</v>
      </c>
      <c r="G22" s="72">
        <f>$B22*G$12/5</f>
        <v>26.6</v>
      </c>
      <c r="H22" s="72">
        <f>$B22*H$12/5</f>
        <v>28.5</v>
      </c>
      <c r="I22" s="12" t="s">
        <v>68</v>
      </c>
      <c r="J22" s="141"/>
      <c r="K22" s="145">
        <v>95</v>
      </c>
      <c r="L22" s="146">
        <f t="shared" si="1"/>
        <v>57</v>
      </c>
      <c r="M22" s="146">
        <f t="shared" si="1"/>
        <v>62.7</v>
      </c>
      <c r="N22" s="146">
        <f t="shared" si="1"/>
        <v>68.400000000000006</v>
      </c>
      <c r="O22" s="146">
        <f t="shared" si="1"/>
        <v>74.099999999999994</v>
      </c>
      <c r="P22" s="146">
        <f t="shared" si="1"/>
        <v>79.8</v>
      </c>
      <c r="Q22" s="146">
        <f t="shared" si="1"/>
        <v>85.5</v>
      </c>
      <c r="R22" s="146">
        <f t="shared" si="1"/>
        <v>91.2</v>
      </c>
      <c r="S22" s="146">
        <f t="shared" si="1"/>
        <v>96.9</v>
      </c>
      <c r="T22" s="146">
        <f t="shared" si="1"/>
        <v>102.6</v>
      </c>
      <c r="U22" s="146">
        <f t="shared" si="1"/>
        <v>108.3</v>
      </c>
      <c r="V22" s="146">
        <f t="shared" si="1"/>
        <v>114</v>
      </c>
      <c r="W22" s="146">
        <f t="shared" si="1"/>
        <v>136.80000000000001</v>
      </c>
      <c r="X22" s="146">
        <f t="shared" si="1"/>
        <v>159.6</v>
      </c>
      <c r="Y22" s="146">
        <f t="shared" si="1"/>
        <v>182.4</v>
      </c>
      <c r="Z22" s="146">
        <f t="shared" si="1"/>
        <v>205.2</v>
      </c>
      <c r="AA22" s="146">
        <f t="shared" si="1"/>
        <v>228</v>
      </c>
      <c r="AB22" s="20" t="s">
        <v>96</v>
      </c>
    </row>
    <row r="23" spans="1:28">
      <c r="A23" s="141"/>
      <c r="B23" s="145">
        <v>100</v>
      </c>
      <c r="C23" s="72">
        <f>$B23*C$12/5</f>
        <v>20</v>
      </c>
      <c r="D23" s="72">
        <f>$B23*D$12/5</f>
        <v>22.000000000000004</v>
      </c>
      <c r="E23" s="72">
        <f>$B23*E$12/5</f>
        <v>24</v>
      </c>
      <c r="F23" s="72">
        <f>$B23*F$12/5</f>
        <v>26</v>
      </c>
      <c r="G23" s="72">
        <f>$B23*G$12/5</f>
        <v>28</v>
      </c>
      <c r="H23" s="72">
        <f>$B23*H$12/5</f>
        <v>30</v>
      </c>
      <c r="I23" s="12" t="s">
        <v>68</v>
      </c>
      <c r="J23" s="141"/>
      <c r="K23" s="145">
        <v>100</v>
      </c>
      <c r="L23" s="146">
        <f t="shared" si="1"/>
        <v>60</v>
      </c>
      <c r="M23" s="146">
        <f t="shared" si="1"/>
        <v>66</v>
      </c>
      <c r="N23" s="146">
        <f t="shared" si="1"/>
        <v>72</v>
      </c>
      <c r="O23" s="146">
        <f t="shared" si="1"/>
        <v>78</v>
      </c>
      <c r="P23" s="146">
        <f t="shared" si="1"/>
        <v>84</v>
      </c>
      <c r="Q23" s="146">
        <f t="shared" si="1"/>
        <v>90</v>
      </c>
      <c r="R23" s="146">
        <f t="shared" si="1"/>
        <v>96</v>
      </c>
      <c r="S23" s="146">
        <f t="shared" si="1"/>
        <v>102</v>
      </c>
      <c r="T23" s="146">
        <f t="shared" si="1"/>
        <v>108</v>
      </c>
      <c r="U23" s="146">
        <f t="shared" si="1"/>
        <v>114</v>
      </c>
      <c r="V23" s="146">
        <f t="shared" si="1"/>
        <v>120</v>
      </c>
      <c r="W23" s="146">
        <f t="shared" si="1"/>
        <v>144</v>
      </c>
      <c r="X23" s="146">
        <f t="shared" si="1"/>
        <v>168</v>
      </c>
      <c r="Y23" s="146">
        <f t="shared" si="1"/>
        <v>192</v>
      </c>
      <c r="Z23" s="146">
        <f t="shared" si="1"/>
        <v>216</v>
      </c>
      <c r="AA23" s="146">
        <f t="shared" si="1"/>
        <v>240</v>
      </c>
      <c r="AB23" s="20" t="s">
        <v>96</v>
      </c>
    </row>
    <row r="24" spans="1:28">
      <c r="A24" s="141"/>
      <c r="B24" s="145">
        <v>105</v>
      </c>
      <c r="C24" s="72">
        <f>$B24*C$12/5</f>
        <v>21</v>
      </c>
      <c r="D24" s="72">
        <f>$B24*D$12/5</f>
        <v>23.1</v>
      </c>
      <c r="E24" s="72">
        <f>$B24*E$12/5</f>
        <v>25.2</v>
      </c>
      <c r="F24" s="72">
        <f>$B24*F$12/5</f>
        <v>27.3</v>
      </c>
      <c r="G24" s="72">
        <f>$B24*G$12/5</f>
        <v>29.4</v>
      </c>
      <c r="H24" s="72">
        <f>$B24*H$12/5</f>
        <v>31.5</v>
      </c>
      <c r="I24" s="12" t="s">
        <v>68</v>
      </c>
      <c r="J24" s="141"/>
      <c r="K24" s="145">
        <v>105</v>
      </c>
      <c r="L24" s="146">
        <f t="shared" si="1"/>
        <v>63</v>
      </c>
      <c r="M24" s="146">
        <f t="shared" si="1"/>
        <v>69.3</v>
      </c>
      <c r="N24" s="146">
        <f t="shared" si="1"/>
        <v>75.599999999999994</v>
      </c>
      <c r="O24" s="146">
        <f t="shared" si="1"/>
        <v>81.900000000000006</v>
      </c>
      <c r="P24" s="146">
        <f t="shared" si="1"/>
        <v>88.2</v>
      </c>
      <c r="Q24" s="146">
        <f t="shared" si="1"/>
        <v>94.5</v>
      </c>
      <c r="R24" s="146">
        <f t="shared" si="1"/>
        <v>100.8</v>
      </c>
      <c r="S24" s="146">
        <f t="shared" si="1"/>
        <v>107.1</v>
      </c>
      <c r="T24" s="146">
        <f t="shared" si="1"/>
        <v>113.4</v>
      </c>
      <c r="U24" s="146">
        <f t="shared" si="1"/>
        <v>119.7</v>
      </c>
      <c r="V24" s="146">
        <f t="shared" si="1"/>
        <v>126</v>
      </c>
      <c r="W24" s="146">
        <f t="shared" si="1"/>
        <v>151.19999999999999</v>
      </c>
      <c r="X24" s="146">
        <f t="shared" si="1"/>
        <v>176.4</v>
      </c>
      <c r="Y24" s="146">
        <f t="shared" si="1"/>
        <v>201.6</v>
      </c>
      <c r="Z24" s="146">
        <f t="shared" si="1"/>
        <v>226.8</v>
      </c>
      <c r="AA24" s="146">
        <f t="shared" si="1"/>
        <v>252</v>
      </c>
      <c r="AB24" s="20" t="s">
        <v>96</v>
      </c>
    </row>
    <row r="25" spans="1:28">
      <c r="A25" s="141"/>
      <c r="B25" s="145">
        <v>110</v>
      </c>
      <c r="C25" s="72">
        <f>$B25*C$12/5</f>
        <v>22</v>
      </c>
      <c r="D25" s="72">
        <f>$B25*D$12/5</f>
        <v>24.200000000000003</v>
      </c>
      <c r="E25" s="72">
        <f>$B25*E$12/5</f>
        <v>26.4</v>
      </c>
      <c r="F25" s="72">
        <f>$B25*F$12/5</f>
        <v>28.6</v>
      </c>
      <c r="G25" s="72">
        <f>$B25*G$12/5</f>
        <v>30.8</v>
      </c>
      <c r="H25" s="72">
        <f>$B25*H$12/5</f>
        <v>33</v>
      </c>
      <c r="I25" s="12" t="s">
        <v>68</v>
      </c>
      <c r="J25" s="141"/>
      <c r="K25" s="145">
        <v>110</v>
      </c>
      <c r="L25" s="146">
        <f t="shared" si="1"/>
        <v>66</v>
      </c>
      <c r="M25" s="146">
        <f t="shared" si="1"/>
        <v>72.599999999999994</v>
      </c>
      <c r="N25" s="146">
        <f t="shared" si="1"/>
        <v>79.2</v>
      </c>
      <c r="O25" s="146">
        <f t="shared" si="1"/>
        <v>85.8</v>
      </c>
      <c r="P25" s="146">
        <f t="shared" si="1"/>
        <v>92.4</v>
      </c>
      <c r="Q25" s="146">
        <f t="shared" si="1"/>
        <v>99</v>
      </c>
      <c r="R25" s="146">
        <f t="shared" si="1"/>
        <v>105.6</v>
      </c>
      <c r="S25" s="146">
        <f t="shared" si="1"/>
        <v>112.2</v>
      </c>
      <c r="T25" s="146">
        <f t="shared" si="1"/>
        <v>118.8</v>
      </c>
      <c r="U25" s="146">
        <f t="shared" si="1"/>
        <v>125.4</v>
      </c>
      <c r="V25" s="146">
        <f t="shared" si="1"/>
        <v>132</v>
      </c>
      <c r="W25" s="146">
        <f t="shared" si="1"/>
        <v>158.4</v>
      </c>
      <c r="X25" s="146">
        <f t="shared" si="1"/>
        <v>184.8</v>
      </c>
      <c r="Y25" s="146">
        <f t="shared" si="1"/>
        <v>211.2</v>
      </c>
      <c r="Z25" s="146">
        <f t="shared" si="1"/>
        <v>237.6</v>
      </c>
      <c r="AA25" s="146">
        <f t="shared" si="1"/>
        <v>264</v>
      </c>
      <c r="AB25" s="20" t="s">
        <v>96</v>
      </c>
    </row>
    <row r="26" spans="1:28">
      <c r="A26" s="141"/>
      <c r="B26" s="145">
        <v>115</v>
      </c>
      <c r="C26" s="72">
        <f>$B26*C$12/5</f>
        <v>23</v>
      </c>
      <c r="D26" s="72">
        <f>$B26*D$12/5</f>
        <v>25.300000000000004</v>
      </c>
      <c r="E26" s="72">
        <f>$B26*E$12/5</f>
        <v>27.6</v>
      </c>
      <c r="F26" s="72">
        <f>$B26*F$12/5</f>
        <v>29.9</v>
      </c>
      <c r="G26" s="72">
        <f>$B26*G$12/5</f>
        <v>32.200000000000003</v>
      </c>
      <c r="H26" s="72">
        <f>$B26*H$12/5</f>
        <v>34.5</v>
      </c>
      <c r="I26" s="12" t="s">
        <v>68</v>
      </c>
      <c r="J26" s="141"/>
      <c r="K26" s="145">
        <v>115</v>
      </c>
      <c r="L26" s="146">
        <f t="shared" si="1"/>
        <v>69</v>
      </c>
      <c r="M26" s="146">
        <f t="shared" si="1"/>
        <v>75.900000000000006</v>
      </c>
      <c r="N26" s="146">
        <f t="shared" si="1"/>
        <v>82.8</v>
      </c>
      <c r="O26" s="146">
        <f t="shared" si="1"/>
        <v>89.7</v>
      </c>
      <c r="P26" s="146">
        <f t="shared" si="1"/>
        <v>96.6</v>
      </c>
      <c r="Q26" s="146">
        <f t="shared" si="1"/>
        <v>103.5</v>
      </c>
      <c r="R26" s="146">
        <f t="shared" si="1"/>
        <v>110.4</v>
      </c>
      <c r="S26" s="146">
        <f t="shared" si="1"/>
        <v>117.3</v>
      </c>
      <c r="T26" s="146">
        <f t="shared" si="1"/>
        <v>124.2</v>
      </c>
      <c r="U26" s="146">
        <f t="shared" si="1"/>
        <v>131.1</v>
      </c>
      <c r="V26" s="146">
        <f t="shared" si="1"/>
        <v>138</v>
      </c>
      <c r="W26" s="146">
        <f t="shared" si="1"/>
        <v>165.6</v>
      </c>
      <c r="X26" s="146">
        <f t="shared" si="1"/>
        <v>193.2</v>
      </c>
      <c r="Y26" s="146">
        <f t="shared" si="1"/>
        <v>220.8</v>
      </c>
      <c r="Z26" s="146">
        <f t="shared" si="1"/>
        <v>248.4</v>
      </c>
      <c r="AA26" s="146">
        <f t="shared" si="1"/>
        <v>276</v>
      </c>
      <c r="AB26" s="20" t="s">
        <v>96</v>
      </c>
    </row>
    <row r="27" spans="1:28">
      <c r="A27" s="141"/>
      <c r="B27" s="145">
        <v>120</v>
      </c>
      <c r="C27" s="72">
        <f>$B27*C$12/5</f>
        <v>24</v>
      </c>
      <c r="D27" s="72">
        <f>$B27*D$12/5</f>
        <v>26.4</v>
      </c>
      <c r="E27" s="72">
        <f>$B27*E$12/5</f>
        <v>28.8</v>
      </c>
      <c r="F27" s="72">
        <f>$B27*F$12/5</f>
        <v>31.2</v>
      </c>
      <c r="G27" s="72">
        <f>$B27*G$12/5</f>
        <v>33.6</v>
      </c>
      <c r="H27" s="72">
        <f>$B27*H$12/5</f>
        <v>36</v>
      </c>
      <c r="I27" s="12" t="s">
        <v>68</v>
      </c>
      <c r="J27" s="141"/>
      <c r="K27" s="145">
        <v>120</v>
      </c>
      <c r="L27" s="146">
        <f t="shared" si="1"/>
        <v>72</v>
      </c>
      <c r="M27" s="146">
        <f t="shared" si="1"/>
        <v>79.2</v>
      </c>
      <c r="N27" s="146">
        <f t="shared" si="1"/>
        <v>86.4</v>
      </c>
      <c r="O27" s="146">
        <f t="shared" si="1"/>
        <v>93.6</v>
      </c>
      <c r="P27" s="146">
        <f t="shared" si="1"/>
        <v>100.8</v>
      </c>
      <c r="Q27" s="146">
        <f t="shared" si="1"/>
        <v>108</v>
      </c>
      <c r="R27" s="146">
        <f t="shared" si="1"/>
        <v>115.2</v>
      </c>
      <c r="S27" s="146">
        <f t="shared" si="1"/>
        <v>122.4</v>
      </c>
      <c r="T27" s="146">
        <f t="shared" si="1"/>
        <v>129.6</v>
      </c>
      <c r="U27" s="146">
        <f t="shared" si="1"/>
        <v>136.80000000000001</v>
      </c>
      <c r="V27" s="146">
        <f t="shared" si="1"/>
        <v>144</v>
      </c>
      <c r="W27" s="146">
        <f t="shared" si="1"/>
        <v>172.8</v>
      </c>
      <c r="X27" s="146">
        <f t="shared" si="1"/>
        <v>201.6</v>
      </c>
      <c r="Y27" s="146">
        <f t="shared" si="1"/>
        <v>230.4</v>
      </c>
      <c r="Z27" s="146">
        <f t="shared" si="1"/>
        <v>259.2</v>
      </c>
      <c r="AA27" s="146">
        <f t="shared" si="1"/>
        <v>288</v>
      </c>
      <c r="AB27" s="20" t="s">
        <v>96</v>
      </c>
    </row>
    <row r="28" spans="1:28" ht="15.75" thickBot="1">
      <c r="A28" s="142"/>
      <c r="B28" s="12"/>
      <c r="C28" s="12"/>
      <c r="D28" s="12"/>
      <c r="E28" s="12"/>
      <c r="F28" s="12"/>
      <c r="G28" s="12"/>
      <c r="H28" s="12"/>
      <c r="I28" s="12"/>
      <c r="J28" s="14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20"/>
    </row>
    <row r="29" spans="1:28" ht="15.75" thickBot="1">
      <c r="A29" s="139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7"/>
    </row>
    <row r="30" spans="1:28">
      <c r="A30" s="140" t="s">
        <v>94</v>
      </c>
      <c r="B30" s="12"/>
      <c r="C30" s="12"/>
      <c r="D30" s="12"/>
      <c r="E30" s="12"/>
      <c r="F30" s="12"/>
      <c r="G30" s="12"/>
      <c r="H30" s="12"/>
      <c r="I30" s="12"/>
      <c r="J30" s="140" t="s">
        <v>95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20"/>
    </row>
    <row r="31" spans="1:28">
      <c r="A31" s="141"/>
      <c r="B31" s="143" t="s">
        <v>90</v>
      </c>
      <c r="C31" s="143"/>
      <c r="D31" s="143"/>
      <c r="E31" s="143"/>
      <c r="F31" s="143"/>
      <c r="G31" s="143"/>
      <c r="H31" s="143"/>
      <c r="I31" s="143"/>
      <c r="J31" s="141"/>
      <c r="K31" s="143" t="s">
        <v>90</v>
      </c>
      <c r="L31" s="143"/>
      <c r="M31" s="143"/>
      <c r="N31" s="143"/>
      <c r="O31" s="143"/>
      <c r="P31" s="143"/>
      <c r="Q31" s="143"/>
      <c r="R31" s="143"/>
      <c r="S31" s="12"/>
      <c r="T31" s="12"/>
      <c r="U31" s="12"/>
      <c r="V31" s="12"/>
      <c r="W31" s="12"/>
      <c r="X31" s="12"/>
      <c r="Y31" s="12"/>
      <c r="Z31" s="12"/>
      <c r="AA31" s="12"/>
      <c r="AB31" s="20"/>
    </row>
    <row r="32" spans="1:28">
      <c r="A32" s="141"/>
      <c r="B32" s="12"/>
      <c r="C32" s="144">
        <v>1</v>
      </c>
      <c r="D32" s="144">
        <v>1.1000000000000001</v>
      </c>
      <c r="E32" s="144">
        <v>1.2</v>
      </c>
      <c r="F32" s="144">
        <v>1.3</v>
      </c>
      <c r="G32" s="144">
        <v>1.4</v>
      </c>
      <c r="H32" s="144">
        <v>1.5</v>
      </c>
      <c r="I32" s="12" t="s">
        <v>91</v>
      </c>
      <c r="J32" s="141"/>
      <c r="K32" s="12"/>
      <c r="L32" s="144">
        <v>50</v>
      </c>
      <c r="M32" s="144">
        <v>55</v>
      </c>
      <c r="N32" s="144">
        <v>60</v>
      </c>
      <c r="O32" s="144">
        <v>65</v>
      </c>
      <c r="P32" s="144">
        <v>70</v>
      </c>
      <c r="Q32" s="144">
        <v>75</v>
      </c>
      <c r="R32" s="144">
        <v>80</v>
      </c>
      <c r="S32" s="144">
        <v>85</v>
      </c>
      <c r="T32" s="144">
        <v>90</v>
      </c>
      <c r="U32" s="144">
        <v>95</v>
      </c>
      <c r="V32" s="144">
        <v>100</v>
      </c>
      <c r="W32" s="144">
        <v>120</v>
      </c>
      <c r="X32" s="144">
        <v>140</v>
      </c>
      <c r="Y32" s="144">
        <v>160</v>
      </c>
      <c r="Z32" s="144">
        <v>180</v>
      </c>
      <c r="AA32" s="144">
        <v>200</v>
      </c>
      <c r="AB32" s="20" t="s">
        <v>91</v>
      </c>
    </row>
    <row r="33" spans="1:28">
      <c r="A33" s="141"/>
      <c r="B33" s="145">
        <v>50</v>
      </c>
      <c r="C33" s="72">
        <f>$B33*C$12/10</f>
        <v>5</v>
      </c>
      <c r="D33" s="72">
        <f t="shared" ref="D33:H33" si="2">$B33*D$12/10</f>
        <v>5.5000000000000009</v>
      </c>
      <c r="E33" s="72">
        <f t="shared" si="2"/>
        <v>6</v>
      </c>
      <c r="F33" s="72">
        <f t="shared" si="2"/>
        <v>6.5</v>
      </c>
      <c r="G33" s="72">
        <f t="shared" si="2"/>
        <v>7</v>
      </c>
      <c r="H33" s="72">
        <f t="shared" si="2"/>
        <v>7.5</v>
      </c>
      <c r="I33" s="12" t="s">
        <v>68</v>
      </c>
      <c r="J33" s="141"/>
      <c r="K33" s="145">
        <v>50</v>
      </c>
      <c r="L33" s="146">
        <f>L$12*$K33*60/10000</f>
        <v>15</v>
      </c>
      <c r="M33" s="146">
        <f t="shared" ref="M33:AA33" si="3">M$12*$K33*60/10000</f>
        <v>16.5</v>
      </c>
      <c r="N33" s="146">
        <f t="shared" si="3"/>
        <v>18</v>
      </c>
      <c r="O33" s="146">
        <f t="shared" si="3"/>
        <v>19.5</v>
      </c>
      <c r="P33" s="146">
        <f t="shared" si="3"/>
        <v>21</v>
      </c>
      <c r="Q33" s="146">
        <f t="shared" si="3"/>
        <v>22.5</v>
      </c>
      <c r="R33" s="146">
        <f t="shared" si="3"/>
        <v>24</v>
      </c>
      <c r="S33" s="146">
        <f t="shared" si="3"/>
        <v>25.5</v>
      </c>
      <c r="T33" s="146">
        <f t="shared" si="3"/>
        <v>27</v>
      </c>
      <c r="U33" s="146">
        <f t="shared" si="3"/>
        <v>28.5</v>
      </c>
      <c r="V33" s="146">
        <f t="shared" si="3"/>
        <v>30</v>
      </c>
      <c r="W33" s="146">
        <f t="shared" si="3"/>
        <v>36</v>
      </c>
      <c r="X33" s="146">
        <f t="shared" si="3"/>
        <v>42</v>
      </c>
      <c r="Y33" s="146">
        <f t="shared" si="3"/>
        <v>48</v>
      </c>
      <c r="Z33" s="146">
        <f t="shared" si="3"/>
        <v>54</v>
      </c>
      <c r="AA33" s="146">
        <f t="shared" si="3"/>
        <v>60</v>
      </c>
      <c r="AB33" s="20" t="s">
        <v>96</v>
      </c>
    </row>
    <row r="34" spans="1:28">
      <c r="A34" s="141"/>
      <c r="B34" s="145">
        <v>55</v>
      </c>
      <c r="C34" s="72">
        <f t="shared" ref="C34:H47" si="4">$B34*C$12/10</f>
        <v>5.5</v>
      </c>
      <c r="D34" s="72">
        <f t="shared" si="4"/>
        <v>6.0500000000000007</v>
      </c>
      <c r="E34" s="72">
        <f t="shared" si="4"/>
        <v>6.6</v>
      </c>
      <c r="F34" s="72">
        <f t="shared" si="4"/>
        <v>7.15</v>
      </c>
      <c r="G34" s="72">
        <f t="shared" si="4"/>
        <v>7.7</v>
      </c>
      <c r="H34" s="72">
        <f t="shared" si="4"/>
        <v>8.25</v>
      </c>
      <c r="I34" s="12" t="s">
        <v>68</v>
      </c>
      <c r="J34" s="141"/>
      <c r="K34" s="145">
        <v>55</v>
      </c>
      <c r="L34" s="146">
        <f t="shared" ref="L34:AA47" si="5">L$12*$K34*60/10000</f>
        <v>16.5</v>
      </c>
      <c r="M34" s="146">
        <f t="shared" si="5"/>
        <v>18.149999999999999</v>
      </c>
      <c r="N34" s="146">
        <f t="shared" si="5"/>
        <v>19.8</v>
      </c>
      <c r="O34" s="146">
        <f t="shared" si="5"/>
        <v>21.45</v>
      </c>
      <c r="P34" s="146">
        <f t="shared" si="5"/>
        <v>23.1</v>
      </c>
      <c r="Q34" s="146">
        <f t="shared" si="5"/>
        <v>24.75</v>
      </c>
      <c r="R34" s="146">
        <f t="shared" si="5"/>
        <v>26.4</v>
      </c>
      <c r="S34" s="146">
        <f t="shared" si="5"/>
        <v>28.05</v>
      </c>
      <c r="T34" s="146">
        <f t="shared" si="5"/>
        <v>29.7</v>
      </c>
      <c r="U34" s="146">
        <f t="shared" si="5"/>
        <v>31.35</v>
      </c>
      <c r="V34" s="146">
        <f t="shared" si="5"/>
        <v>33</v>
      </c>
      <c r="W34" s="146">
        <f t="shared" si="5"/>
        <v>39.6</v>
      </c>
      <c r="X34" s="146">
        <f t="shared" si="5"/>
        <v>46.2</v>
      </c>
      <c r="Y34" s="146">
        <f t="shared" si="5"/>
        <v>52.8</v>
      </c>
      <c r="Z34" s="146">
        <f t="shared" si="5"/>
        <v>59.4</v>
      </c>
      <c r="AA34" s="146">
        <f t="shared" si="5"/>
        <v>66</v>
      </c>
      <c r="AB34" s="20" t="s">
        <v>96</v>
      </c>
    </row>
    <row r="35" spans="1:28">
      <c r="A35" s="141"/>
      <c r="B35" s="145">
        <v>60</v>
      </c>
      <c r="C35" s="72">
        <f t="shared" si="4"/>
        <v>6</v>
      </c>
      <c r="D35" s="72">
        <f t="shared" si="4"/>
        <v>6.6</v>
      </c>
      <c r="E35" s="72">
        <f t="shared" si="4"/>
        <v>7.2</v>
      </c>
      <c r="F35" s="72">
        <f t="shared" si="4"/>
        <v>7.8</v>
      </c>
      <c r="G35" s="72">
        <f t="shared" si="4"/>
        <v>8.4</v>
      </c>
      <c r="H35" s="72">
        <f t="shared" si="4"/>
        <v>9</v>
      </c>
      <c r="I35" s="12" t="s">
        <v>68</v>
      </c>
      <c r="J35" s="141"/>
      <c r="K35" s="145">
        <v>60</v>
      </c>
      <c r="L35" s="146">
        <f t="shared" si="5"/>
        <v>18</v>
      </c>
      <c r="M35" s="146">
        <f t="shared" si="5"/>
        <v>19.8</v>
      </c>
      <c r="N35" s="146">
        <f t="shared" si="5"/>
        <v>21.6</v>
      </c>
      <c r="O35" s="146">
        <f t="shared" si="5"/>
        <v>23.4</v>
      </c>
      <c r="P35" s="146">
        <f t="shared" si="5"/>
        <v>25.2</v>
      </c>
      <c r="Q35" s="146">
        <f t="shared" si="5"/>
        <v>27</v>
      </c>
      <c r="R35" s="146">
        <f t="shared" si="5"/>
        <v>28.8</v>
      </c>
      <c r="S35" s="146">
        <f t="shared" si="5"/>
        <v>30.6</v>
      </c>
      <c r="T35" s="146">
        <f t="shared" si="5"/>
        <v>32.4</v>
      </c>
      <c r="U35" s="146">
        <f t="shared" si="5"/>
        <v>34.200000000000003</v>
      </c>
      <c r="V35" s="146">
        <f t="shared" si="5"/>
        <v>36</v>
      </c>
      <c r="W35" s="146">
        <f t="shared" si="5"/>
        <v>43.2</v>
      </c>
      <c r="X35" s="146">
        <f t="shared" si="5"/>
        <v>50.4</v>
      </c>
      <c r="Y35" s="146">
        <f t="shared" si="5"/>
        <v>57.6</v>
      </c>
      <c r="Z35" s="146">
        <f t="shared" si="5"/>
        <v>64.8</v>
      </c>
      <c r="AA35" s="146">
        <f t="shared" si="5"/>
        <v>72</v>
      </c>
      <c r="AB35" s="20" t="s">
        <v>96</v>
      </c>
    </row>
    <row r="36" spans="1:28">
      <c r="A36" s="141"/>
      <c r="B36" s="145">
        <v>65</v>
      </c>
      <c r="C36" s="72">
        <f t="shared" si="4"/>
        <v>6.5</v>
      </c>
      <c r="D36" s="72">
        <f t="shared" si="4"/>
        <v>7.15</v>
      </c>
      <c r="E36" s="72">
        <f t="shared" si="4"/>
        <v>7.8</v>
      </c>
      <c r="F36" s="72">
        <f t="shared" si="4"/>
        <v>8.4499999999999993</v>
      </c>
      <c r="G36" s="72">
        <f t="shared" si="4"/>
        <v>9.1</v>
      </c>
      <c r="H36" s="72">
        <f t="shared" si="4"/>
        <v>9.75</v>
      </c>
      <c r="I36" s="12" t="s">
        <v>68</v>
      </c>
      <c r="J36" s="141"/>
      <c r="K36" s="145">
        <v>65</v>
      </c>
      <c r="L36" s="146">
        <f t="shared" si="5"/>
        <v>19.5</v>
      </c>
      <c r="M36" s="146">
        <f t="shared" si="5"/>
        <v>21.45</v>
      </c>
      <c r="N36" s="146">
        <f t="shared" si="5"/>
        <v>23.4</v>
      </c>
      <c r="O36" s="146">
        <f t="shared" si="5"/>
        <v>25.35</v>
      </c>
      <c r="P36" s="146">
        <f t="shared" si="5"/>
        <v>27.3</v>
      </c>
      <c r="Q36" s="146">
        <f t="shared" si="5"/>
        <v>29.25</v>
      </c>
      <c r="R36" s="146">
        <f t="shared" si="5"/>
        <v>31.2</v>
      </c>
      <c r="S36" s="146">
        <f t="shared" si="5"/>
        <v>33.15</v>
      </c>
      <c r="T36" s="146">
        <f t="shared" si="5"/>
        <v>35.1</v>
      </c>
      <c r="U36" s="146">
        <f t="shared" si="5"/>
        <v>37.049999999999997</v>
      </c>
      <c r="V36" s="146">
        <f t="shared" si="5"/>
        <v>39</v>
      </c>
      <c r="W36" s="146">
        <f t="shared" si="5"/>
        <v>46.8</v>
      </c>
      <c r="X36" s="146">
        <f t="shared" si="5"/>
        <v>54.6</v>
      </c>
      <c r="Y36" s="146">
        <f t="shared" si="5"/>
        <v>62.4</v>
      </c>
      <c r="Z36" s="146">
        <f t="shared" si="5"/>
        <v>70.2</v>
      </c>
      <c r="AA36" s="146">
        <f t="shared" si="5"/>
        <v>78</v>
      </c>
      <c r="AB36" s="20" t="s">
        <v>96</v>
      </c>
    </row>
    <row r="37" spans="1:28">
      <c r="A37" s="141"/>
      <c r="B37" s="145">
        <v>70</v>
      </c>
      <c r="C37" s="72">
        <f t="shared" si="4"/>
        <v>7</v>
      </c>
      <c r="D37" s="72">
        <f t="shared" si="4"/>
        <v>7.7</v>
      </c>
      <c r="E37" s="72">
        <f t="shared" si="4"/>
        <v>8.4</v>
      </c>
      <c r="F37" s="72">
        <f t="shared" si="4"/>
        <v>9.1</v>
      </c>
      <c r="G37" s="72">
        <f t="shared" si="4"/>
        <v>9.8000000000000007</v>
      </c>
      <c r="H37" s="72">
        <f t="shared" si="4"/>
        <v>10.5</v>
      </c>
      <c r="I37" s="12" t="s">
        <v>68</v>
      </c>
      <c r="J37" s="141"/>
      <c r="K37" s="145">
        <v>70</v>
      </c>
      <c r="L37" s="146">
        <f t="shared" si="5"/>
        <v>21</v>
      </c>
      <c r="M37" s="146">
        <f t="shared" si="5"/>
        <v>23.1</v>
      </c>
      <c r="N37" s="146">
        <f t="shared" si="5"/>
        <v>25.2</v>
      </c>
      <c r="O37" s="146">
        <f t="shared" si="5"/>
        <v>27.3</v>
      </c>
      <c r="P37" s="146">
        <f t="shared" si="5"/>
        <v>29.4</v>
      </c>
      <c r="Q37" s="146">
        <f t="shared" si="5"/>
        <v>31.5</v>
      </c>
      <c r="R37" s="146">
        <f t="shared" si="5"/>
        <v>33.6</v>
      </c>
      <c r="S37" s="146">
        <f t="shared" si="5"/>
        <v>35.700000000000003</v>
      </c>
      <c r="T37" s="146">
        <f t="shared" si="5"/>
        <v>37.799999999999997</v>
      </c>
      <c r="U37" s="146">
        <f t="shared" si="5"/>
        <v>39.9</v>
      </c>
      <c r="V37" s="146">
        <f t="shared" si="5"/>
        <v>42</v>
      </c>
      <c r="W37" s="146">
        <f t="shared" si="5"/>
        <v>50.4</v>
      </c>
      <c r="X37" s="146">
        <f t="shared" si="5"/>
        <v>58.8</v>
      </c>
      <c r="Y37" s="146">
        <f t="shared" si="5"/>
        <v>67.2</v>
      </c>
      <c r="Z37" s="146">
        <f t="shared" si="5"/>
        <v>75.599999999999994</v>
      </c>
      <c r="AA37" s="146">
        <f t="shared" si="5"/>
        <v>84</v>
      </c>
      <c r="AB37" s="20" t="s">
        <v>96</v>
      </c>
    </row>
    <row r="38" spans="1:28">
      <c r="A38" s="141"/>
      <c r="B38" s="145">
        <v>75</v>
      </c>
      <c r="C38" s="72">
        <f t="shared" si="4"/>
        <v>7.5</v>
      </c>
      <c r="D38" s="72">
        <f t="shared" si="4"/>
        <v>8.25</v>
      </c>
      <c r="E38" s="72">
        <f t="shared" si="4"/>
        <v>9</v>
      </c>
      <c r="F38" s="72">
        <f t="shared" si="4"/>
        <v>9.75</v>
      </c>
      <c r="G38" s="72">
        <f t="shared" si="4"/>
        <v>10.5</v>
      </c>
      <c r="H38" s="72">
        <f t="shared" si="4"/>
        <v>11.25</v>
      </c>
      <c r="I38" s="12" t="s">
        <v>68</v>
      </c>
      <c r="J38" s="141"/>
      <c r="K38" s="145">
        <v>75</v>
      </c>
      <c r="L38" s="146">
        <f t="shared" si="5"/>
        <v>22.5</v>
      </c>
      <c r="M38" s="146">
        <f t="shared" si="5"/>
        <v>24.75</v>
      </c>
      <c r="N38" s="146">
        <f t="shared" si="5"/>
        <v>27</v>
      </c>
      <c r="O38" s="146">
        <f t="shared" si="5"/>
        <v>29.25</v>
      </c>
      <c r="P38" s="146">
        <f t="shared" si="5"/>
        <v>31.5</v>
      </c>
      <c r="Q38" s="146">
        <f t="shared" si="5"/>
        <v>33.75</v>
      </c>
      <c r="R38" s="146">
        <f t="shared" si="5"/>
        <v>36</v>
      </c>
      <c r="S38" s="146">
        <f t="shared" si="5"/>
        <v>38.25</v>
      </c>
      <c r="T38" s="146">
        <f t="shared" si="5"/>
        <v>40.5</v>
      </c>
      <c r="U38" s="146">
        <f t="shared" si="5"/>
        <v>42.75</v>
      </c>
      <c r="V38" s="146">
        <f t="shared" si="5"/>
        <v>45</v>
      </c>
      <c r="W38" s="146">
        <f t="shared" si="5"/>
        <v>54</v>
      </c>
      <c r="X38" s="146">
        <f t="shared" si="5"/>
        <v>63</v>
      </c>
      <c r="Y38" s="146">
        <f t="shared" si="5"/>
        <v>72</v>
      </c>
      <c r="Z38" s="146">
        <f t="shared" si="5"/>
        <v>81</v>
      </c>
      <c r="AA38" s="146">
        <f t="shared" si="5"/>
        <v>90</v>
      </c>
      <c r="AB38" s="20" t="s">
        <v>96</v>
      </c>
    </row>
    <row r="39" spans="1:28">
      <c r="A39" s="141"/>
      <c r="B39" s="145">
        <v>80</v>
      </c>
      <c r="C39" s="72">
        <f t="shared" si="4"/>
        <v>8</v>
      </c>
      <c r="D39" s="72">
        <f t="shared" si="4"/>
        <v>8.8000000000000007</v>
      </c>
      <c r="E39" s="72">
        <f t="shared" si="4"/>
        <v>9.6</v>
      </c>
      <c r="F39" s="72">
        <f t="shared" si="4"/>
        <v>10.4</v>
      </c>
      <c r="G39" s="72">
        <f t="shared" si="4"/>
        <v>11.2</v>
      </c>
      <c r="H39" s="72">
        <f t="shared" si="4"/>
        <v>12</v>
      </c>
      <c r="I39" s="12" t="s">
        <v>68</v>
      </c>
      <c r="J39" s="141"/>
      <c r="K39" s="145">
        <v>80</v>
      </c>
      <c r="L39" s="146">
        <f t="shared" si="5"/>
        <v>24</v>
      </c>
      <c r="M39" s="146">
        <f t="shared" si="5"/>
        <v>26.4</v>
      </c>
      <c r="N39" s="146">
        <f t="shared" si="5"/>
        <v>28.8</v>
      </c>
      <c r="O39" s="146">
        <f t="shared" si="5"/>
        <v>31.2</v>
      </c>
      <c r="P39" s="146">
        <f t="shared" si="5"/>
        <v>33.6</v>
      </c>
      <c r="Q39" s="146">
        <f t="shared" si="5"/>
        <v>36</v>
      </c>
      <c r="R39" s="146">
        <f t="shared" si="5"/>
        <v>38.4</v>
      </c>
      <c r="S39" s="146">
        <f t="shared" si="5"/>
        <v>40.799999999999997</v>
      </c>
      <c r="T39" s="146">
        <f t="shared" si="5"/>
        <v>43.2</v>
      </c>
      <c r="U39" s="146">
        <f t="shared" si="5"/>
        <v>45.6</v>
      </c>
      <c r="V39" s="146">
        <f t="shared" si="5"/>
        <v>48</v>
      </c>
      <c r="W39" s="146">
        <f t="shared" si="5"/>
        <v>57.6</v>
      </c>
      <c r="X39" s="146">
        <f t="shared" si="5"/>
        <v>67.2</v>
      </c>
      <c r="Y39" s="146">
        <f t="shared" si="5"/>
        <v>76.8</v>
      </c>
      <c r="Z39" s="146">
        <f t="shared" si="5"/>
        <v>86.4</v>
      </c>
      <c r="AA39" s="146">
        <f t="shared" si="5"/>
        <v>96</v>
      </c>
      <c r="AB39" s="20" t="s">
        <v>96</v>
      </c>
    </row>
    <row r="40" spans="1:28">
      <c r="A40" s="141"/>
      <c r="B40" s="145">
        <v>85</v>
      </c>
      <c r="C40" s="72">
        <f t="shared" si="4"/>
        <v>8.5</v>
      </c>
      <c r="D40" s="72">
        <f t="shared" si="4"/>
        <v>9.3500000000000014</v>
      </c>
      <c r="E40" s="72">
        <f t="shared" si="4"/>
        <v>10.199999999999999</v>
      </c>
      <c r="F40" s="72">
        <f t="shared" si="4"/>
        <v>11.05</v>
      </c>
      <c r="G40" s="72">
        <f t="shared" si="4"/>
        <v>11.899999999999999</v>
      </c>
      <c r="H40" s="72">
        <f t="shared" si="4"/>
        <v>12.75</v>
      </c>
      <c r="I40" s="12" t="s">
        <v>68</v>
      </c>
      <c r="J40" s="141"/>
      <c r="K40" s="145">
        <v>85</v>
      </c>
      <c r="L40" s="146">
        <f t="shared" si="5"/>
        <v>25.5</v>
      </c>
      <c r="M40" s="146">
        <f t="shared" si="5"/>
        <v>28.05</v>
      </c>
      <c r="N40" s="146">
        <f t="shared" si="5"/>
        <v>30.6</v>
      </c>
      <c r="O40" s="146">
        <f t="shared" si="5"/>
        <v>33.15</v>
      </c>
      <c r="P40" s="146">
        <f t="shared" si="5"/>
        <v>35.700000000000003</v>
      </c>
      <c r="Q40" s="146">
        <f t="shared" si="5"/>
        <v>38.25</v>
      </c>
      <c r="R40" s="146">
        <f t="shared" si="5"/>
        <v>40.799999999999997</v>
      </c>
      <c r="S40" s="146">
        <f t="shared" si="5"/>
        <v>43.35</v>
      </c>
      <c r="T40" s="146">
        <f t="shared" si="5"/>
        <v>45.9</v>
      </c>
      <c r="U40" s="146">
        <f t="shared" si="5"/>
        <v>48.45</v>
      </c>
      <c r="V40" s="146">
        <f t="shared" si="5"/>
        <v>51</v>
      </c>
      <c r="W40" s="146">
        <f t="shared" si="5"/>
        <v>61.2</v>
      </c>
      <c r="X40" s="146">
        <f t="shared" si="5"/>
        <v>71.400000000000006</v>
      </c>
      <c r="Y40" s="146">
        <f t="shared" si="5"/>
        <v>81.599999999999994</v>
      </c>
      <c r="Z40" s="146">
        <f t="shared" si="5"/>
        <v>91.8</v>
      </c>
      <c r="AA40" s="146">
        <f t="shared" si="5"/>
        <v>102</v>
      </c>
      <c r="AB40" s="20" t="s">
        <v>96</v>
      </c>
    </row>
    <row r="41" spans="1:28">
      <c r="A41" s="141"/>
      <c r="B41" s="145">
        <v>90</v>
      </c>
      <c r="C41" s="72">
        <f t="shared" si="4"/>
        <v>9</v>
      </c>
      <c r="D41" s="72">
        <f t="shared" si="4"/>
        <v>9.9000000000000021</v>
      </c>
      <c r="E41" s="72">
        <f t="shared" si="4"/>
        <v>10.8</v>
      </c>
      <c r="F41" s="72">
        <f t="shared" si="4"/>
        <v>11.7</v>
      </c>
      <c r="G41" s="72">
        <f t="shared" si="4"/>
        <v>12.599999999999998</v>
      </c>
      <c r="H41" s="72">
        <f t="shared" si="4"/>
        <v>13.5</v>
      </c>
      <c r="I41" s="12" t="s">
        <v>68</v>
      </c>
      <c r="J41" s="141"/>
      <c r="K41" s="145">
        <v>90</v>
      </c>
      <c r="L41" s="146">
        <f t="shared" si="5"/>
        <v>27</v>
      </c>
      <c r="M41" s="146">
        <f t="shared" si="5"/>
        <v>29.7</v>
      </c>
      <c r="N41" s="146">
        <f t="shared" si="5"/>
        <v>32.4</v>
      </c>
      <c r="O41" s="146">
        <f t="shared" si="5"/>
        <v>35.1</v>
      </c>
      <c r="P41" s="146">
        <f t="shared" si="5"/>
        <v>37.799999999999997</v>
      </c>
      <c r="Q41" s="146">
        <f t="shared" si="5"/>
        <v>40.5</v>
      </c>
      <c r="R41" s="146">
        <f t="shared" si="5"/>
        <v>43.2</v>
      </c>
      <c r="S41" s="146">
        <f t="shared" si="5"/>
        <v>45.9</v>
      </c>
      <c r="T41" s="146">
        <f t="shared" si="5"/>
        <v>48.6</v>
      </c>
      <c r="U41" s="146">
        <f t="shared" si="5"/>
        <v>51.3</v>
      </c>
      <c r="V41" s="146">
        <f t="shared" si="5"/>
        <v>54</v>
      </c>
      <c r="W41" s="146">
        <f t="shared" si="5"/>
        <v>64.8</v>
      </c>
      <c r="X41" s="146">
        <f t="shared" si="5"/>
        <v>75.599999999999994</v>
      </c>
      <c r="Y41" s="146">
        <f t="shared" si="5"/>
        <v>86.4</v>
      </c>
      <c r="Z41" s="146">
        <f t="shared" si="5"/>
        <v>97.2</v>
      </c>
      <c r="AA41" s="146">
        <f t="shared" si="5"/>
        <v>108</v>
      </c>
      <c r="AB41" s="20" t="s">
        <v>96</v>
      </c>
    </row>
    <row r="42" spans="1:28">
      <c r="A42" s="141"/>
      <c r="B42" s="145">
        <v>95</v>
      </c>
      <c r="C42" s="72">
        <f t="shared" si="4"/>
        <v>9.5</v>
      </c>
      <c r="D42" s="72">
        <f t="shared" si="4"/>
        <v>10.450000000000001</v>
      </c>
      <c r="E42" s="72">
        <f t="shared" si="4"/>
        <v>11.4</v>
      </c>
      <c r="F42" s="72">
        <f t="shared" si="4"/>
        <v>12.35</v>
      </c>
      <c r="G42" s="72">
        <f t="shared" si="4"/>
        <v>13.3</v>
      </c>
      <c r="H42" s="72">
        <f t="shared" si="4"/>
        <v>14.25</v>
      </c>
      <c r="I42" s="12" t="s">
        <v>68</v>
      </c>
      <c r="J42" s="141"/>
      <c r="K42" s="145">
        <v>95</v>
      </c>
      <c r="L42" s="146">
        <f t="shared" si="5"/>
        <v>28.5</v>
      </c>
      <c r="M42" s="146">
        <f t="shared" si="5"/>
        <v>31.35</v>
      </c>
      <c r="N42" s="146">
        <f t="shared" si="5"/>
        <v>34.200000000000003</v>
      </c>
      <c r="O42" s="146">
        <f t="shared" si="5"/>
        <v>37.049999999999997</v>
      </c>
      <c r="P42" s="146">
        <f t="shared" si="5"/>
        <v>39.9</v>
      </c>
      <c r="Q42" s="146">
        <f t="shared" si="5"/>
        <v>42.75</v>
      </c>
      <c r="R42" s="146">
        <f t="shared" si="5"/>
        <v>45.6</v>
      </c>
      <c r="S42" s="146">
        <f t="shared" si="5"/>
        <v>48.45</v>
      </c>
      <c r="T42" s="146">
        <f t="shared" si="5"/>
        <v>51.3</v>
      </c>
      <c r="U42" s="146">
        <f t="shared" si="5"/>
        <v>54.15</v>
      </c>
      <c r="V42" s="146">
        <f t="shared" si="5"/>
        <v>57</v>
      </c>
      <c r="W42" s="146">
        <f t="shared" si="5"/>
        <v>68.400000000000006</v>
      </c>
      <c r="X42" s="146">
        <f t="shared" si="5"/>
        <v>79.8</v>
      </c>
      <c r="Y42" s="146">
        <f t="shared" si="5"/>
        <v>91.2</v>
      </c>
      <c r="Z42" s="146">
        <f t="shared" si="5"/>
        <v>102.6</v>
      </c>
      <c r="AA42" s="146">
        <f t="shared" si="5"/>
        <v>114</v>
      </c>
      <c r="AB42" s="20" t="s">
        <v>96</v>
      </c>
    </row>
    <row r="43" spans="1:28">
      <c r="A43" s="141"/>
      <c r="B43" s="145">
        <v>100</v>
      </c>
      <c r="C43" s="72">
        <f t="shared" si="4"/>
        <v>10</v>
      </c>
      <c r="D43" s="72">
        <f t="shared" si="4"/>
        <v>11.000000000000002</v>
      </c>
      <c r="E43" s="72">
        <f t="shared" si="4"/>
        <v>12</v>
      </c>
      <c r="F43" s="72">
        <f t="shared" si="4"/>
        <v>13</v>
      </c>
      <c r="G43" s="72">
        <f t="shared" si="4"/>
        <v>14</v>
      </c>
      <c r="H43" s="72">
        <f t="shared" si="4"/>
        <v>15</v>
      </c>
      <c r="I43" s="12" t="s">
        <v>68</v>
      </c>
      <c r="J43" s="141"/>
      <c r="K43" s="145">
        <v>100</v>
      </c>
      <c r="L43" s="146">
        <f t="shared" si="5"/>
        <v>30</v>
      </c>
      <c r="M43" s="146">
        <f t="shared" si="5"/>
        <v>33</v>
      </c>
      <c r="N43" s="146">
        <f t="shared" si="5"/>
        <v>36</v>
      </c>
      <c r="O43" s="146">
        <f t="shared" si="5"/>
        <v>39</v>
      </c>
      <c r="P43" s="146">
        <f t="shared" si="5"/>
        <v>42</v>
      </c>
      <c r="Q43" s="146">
        <f t="shared" si="5"/>
        <v>45</v>
      </c>
      <c r="R43" s="146">
        <f t="shared" si="5"/>
        <v>48</v>
      </c>
      <c r="S43" s="146">
        <f t="shared" si="5"/>
        <v>51</v>
      </c>
      <c r="T43" s="146">
        <f t="shared" si="5"/>
        <v>54</v>
      </c>
      <c r="U43" s="146">
        <f t="shared" si="5"/>
        <v>57</v>
      </c>
      <c r="V43" s="146">
        <f t="shared" si="5"/>
        <v>60</v>
      </c>
      <c r="W43" s="146">
        <f t="shared" si="5"/>
        <v>72</v>
      </c>
      <c r="X43" s="146">
        <f t="shared" si="5"/>
        <v>84</v>
      </c>
      <c r="Y43" s="146">
        <f t="shared" si="5"/>
        <v>96</v>
      </c>
      <c r="Z43" s="146">
        <f t="shared" si="5"/>
        <v>108</v>
      </c>
      <c r="AA43" s="146">
        <f t="shared" si="5"/>
        <v>120</v>
      </c>
      <c r="AB43" s="20" t="s">
        <v>96</v>
      </c>
    </row>
    <row r="44" spans="1:28">
      <c r="A44" s="141"/>
      <c r="B44" s="145">
        <v>105</v>
      </c>
      <c r="C44" s="72">
        <f t="shared" si="4"/>
        <v>10.5</v>
      </c>
      <c r="D44" s="72">
        <f t="shared" si="4"/>
        <v>11.55</v>
      </c>
      <c r="E44" s="72">
        <f t="shared" si="4"/>
        <v>12.6</v>
      </c>
      <c r="F44" s="72">
        <f t="shared" si="4"/>
        <v>13.65</v>
      </c>
      <c r="G44" s="72">
        <f t="shared" si="4"/>
        <v>14.7</v>
      </c>
      <c r="H44" s="72">
        <f t="shared" si="4"/>
        <v>15.75</v>
      </c>
      <c r="I44" s="12" t="s">
        <v>68</v>
      </c>
      <c r="J44" s="141"/>
      <c r="K44" s="145">
        <v>105</v>
      </c>
      <c r="L44" s="146">
        <f t="shared" si="5"/>
        <v>31.5</v>
      </c>
      <c r="M44" s="146">
        <f t="shared" si="5"/>
        <v>34.65</v>
      </c>
      <c r="N44" s="146">
        <f t="shared" si="5"/>
        <v>37.799999999999997</v>
      </c>
      <c r="O44" s="146">
        <f t="shared" si="5"/>
        <v>40.950000000000003</v>
      </c>
      <c r="P44" s="146">
        <f t="shared" si="5"/>
        <v>44.1</v>
      </c>
      <c r="Q44" s="146">
        <f t="shared" si="5"/>
        <v>47.25</v>
      </c>
      <c r="R44" s="146">
        <f t="shared" si="5"/>
        <v>50.4</v>
      </c>
      <c r="S44" s="146">
        <f t="shared" si="5"/>
        <v>53.55</v>
      </c>
      <c r="T44" s="146">
        <f t="shared" si="5"/>
        <v>56.7</v>
      </c>
      <c r="U44" s="146">
        <f t="shared" si="5"/>
        <v>59.85</v>
      </c>
      <c r="V44" s="146">
        <f t="shared" si="5"/>
        <v>63</v>
      </c>
      <c r="W44" s="146">
        <f t="shared" si="5"/>
        <v>75.599999999999994</v>
      </c>
      <c r="X44" s="146">
        <f t="shared" si="5"/>
        <v>88.2</v>
      </c>
      <c r="Y44" s="146">
        <f t="shared" si="5"/>
        <v>100.8</v>
      </c>
      <c r="Z44" s="146">
        <f t="shared" si="5"/>
        <v>113.4</v>
      </c>
      <c r="AA44" s="146">
        <f t="shared" si="5"/>
        <v>126</v>
      </c>
      <c r="AB44" s="20" t="s">
        <v>96</v>
      </c>
    </row>
    <row r="45" spans="1:28">
      <c r="A45" s="141"/>
      <c r="B45" s="145">
        <v>110</v>
      </c>
      <c r="C45" s="72">
        <f t="shared" si="4"/>
        <v>11</v>
      </c>
      <c r="D45" s="72">
        <f t="shared" si="4"/>
        <v>12.100000000000001</v>
      </c>
      <c r="E45" s="72">
        <f t="shared" si="4"/>
        <v>13.2</v>
      </c>
      <c r="F45" s="72">
        <f t="shared" si="4"/>
        <v>14.3</v>
      </c>
      <c r="G45" s="72">
        <f t="shared" si="4"/>
        <v>15.4</v>
      </c>
      <c r="H45" s="72">
        <f t="shared" si="4"/>
        <v>16.5</v>
      </c>
      <c r="I45" s="12" t="s">
        <v>68</v>
      </c>
      <c r="J45" s="141"/>
      <c r="K45" s="145">
        <v>110</v>
      </c>
      <c r="L45" s="146">
        <f t="shared" si="5"/>
        <v>33</v>
      </c>
      <c r="M45" s="146">
        <f t="shared" si="5"/>
        <v>36.299999999999997</v>
      </c>
      <c r="N45" s="146">
        <f t="shared" si="5"/>
        <v>39.6</v>
      </c>
      <c r="O45" s="146">
        <f t="shared" si="5"/>
        <v>42.9</v>
      </c>
      <c r="P45" s="146">
        <f t="shared" si="5"/>
        <v>46.2</v>
      </c>
      <c r="Q45" s="146">
        <f t="shared" si="5"/>
        <v>49.5</v>
      </c>
      <c r="R45" s="146">
        <f t="shared" si="5"/>
        <v>52.8</v>
      </c>
      <c r="S45" s="146">
        <f t="shared" si="5"/>
        <v>56.1</v>
      </c>
      <c r="T45" s="146">
        <f t="shared" si="5"/>
        <v>59.4</v>
      </c>
      <c r="U45" s="146">
        <f t="shared" si="5"/>
        <v>62.7</v>
      </c>
      <c r="V45" s="146">
        <f t="shared" si="5"/>
        <v>66</v>
      </c>
      <c r="W45" s="146">
        <f t="shared" si="5"/>
        <v>79.2</v>
      </c>
      <c r="X45" s="146">
        <f t="shared" si="5"/>
        <v>92.4</v>
      </c>
      <c r="Y45" s="146">
        <f t="shared" si="5"/>
        <v>105.6</v>
      </c>
      <c r="Z45" s="146">
        <f t="shared" si="5"/>
        <v>118.8</v>
      </c>
      <c r="AA45" s="146">
        <f t="shared" si="5"/>
        <v>132</v>
      </c>
      <c r="AB45" s="20" t="s">
        <v>96</v>
      </c>
    </row>
    <row r="46" spans="1:28">
      <c r="A46" s="141"/>
      <c r="B46" s="145">
        <v>115</v>
      </c>
      <c r="C46" s="72">
        <f t="shared" si="4"/>
        <v>11.5</v>
      </c>
      <c r="D46" s="72">
        <f t="shared" si="4"/>
        <v>12.650000000000002</v>
      </c>
      <c r="E46" s="72">
        <f t="shared" si="4"/>
        <v>13.8</v>
      </c>
      <c r="F46" s="72">
        <f t="shared" si="4"/>
        <v>14.95</v>
      </c>
      <c r="G46" s="72">
        <f t="shared" si="4"/>
        <v>16.100000000000001</v>
      </c>
      <c r="H46" s="72">
        <f t="shared" si="4"/>
        <v>17.25</v>
      </c>
      <c r="I46" s="12" t="s">
        <v>68</v>
      </c>
      <c r="J46" s="141"/>
      <c r="K46" s="145">
        <v>115</v>
      </c>
      <c r="L46" s="146">
        <f t="shared" si="5"/>
        <v>34.5</v>
      </c>
      <c r="M46" s="146">
        <f t="shared" si="5"/>
        <v>37.950000000000003</v>
      </c>
      <c r="N46" s="146">
        <f t="shared" si="5"/>
        <v>41.4</v>
      </c>
      <c r="O46" s="146">
        <f t="shared" si="5"/>
        <v>44.85</v>
      </c>
      <c r="P46" s="146">
        <f t="shared" si="5"/>
        <v>48.3</v>
      </c>
      <c r="Q46" s="146">
        <f t="shared" si="5"/>
        <v>51.75</v>
      </c>
      <c r="R46" s="146">
        <f t="shared" si="5"/>
        <v>55.2</v>
      </c>
      <c r="S46" s="146">
        <f t="shared" si="5"/>
        <v>58.65</v>
      </c>
      <c r="T46" s="146">
        <f t="shared" si="5"/>
        <v>62.1</v>
      </c>
      <c r="U46" s="146">
        <f t="shared" si="5"/>
        <v>65.55</v>
      </c>
      <c r="V46" s="146">
        <f t="shared" si="5"/>
        <v>69</v>
      </c>
      <c r="W46" s="146">
        <f t="shared" si="5"/>
        <v>82.8</v>
      </c>
      <c r="X46" s="146">
        <f t="shared" si="5"/>
        <v>96.6</v>
      </c>
      <c r="Y46" s="146">
        <f t="shared" si="5"/>
        <v>110.4</v>
      </c>
      <c r="Z46" s="146">
        <f t="shared" si="5"/>
        <v>124.2</v>
      </c>
      <c r="AA46" s="146">
        <f t="shared" si="5"/>
        <v>138</v>
      </c>
      <c r="AB46" s="20" t="s">
        <v>96</v>
      </c>
    </row>
    <row r="47" spans="1:28">
      <c r="A47" s="141"/>
      <c r="B47" s="145">
        <v>120</v>
      </c>
      <c r="C47" s="72">
        <f t="shared" si="4"/>
        <v>12</v>
      </c>
      <c r="D47" s="72">
        <f t="shared" si="4"/>
        <v>13.2</v>
      </c>
      <c r="E47" s="72">
        <f t="shared" si="4"/>
        <v>14.4</v>
      </c>
      <c r="F47" s="72">
        <f t="shared" si="4"/>
        <v>15.6</v>
      </c>
      <c r="G47" s="72">
        <f t="shared" si="4"/>
        <v>16.8</v>
      </c>
      <c r="H47" s="72">
        <f t="shared" si="4"/>
        <v>18</v>
      </c>
      <c r="I47" s="12" t="s">
        <v>68</v>
      </c>
      <c r="J47" s="141"/>
      <c r="K47" s="145">
        <v>120</v>
      </c>
      <c r="L47" s="146">
        <f t="shared" si="5"/>
        <v>36</v>
      </c>
      <c r="M47" s="146">
        <f t="shared" si="5"/>
        <v>39.6</v>
      </c>
      <c r="N47" s="146">
        <f t="shared" si="5"/>
        <v>43.2</v>
      </c>
      <c r="O47" s="146">
        <f t="shared" si="5"/>
        <v>46.8</v>
      </c>
      <c r="P47" s="146">
        <f t="shared" si="5"/>
        <v>50.4</v>
      </c>
      <c r="Q47" s="146">
        <f t="shared" si="5"/>
        <v>54</v>
      </c>
      <c r="R47" s="146">
        <f t="shared" si="5"/>
        <v>57.6</v>
      </c>
      <c r="S47" s="146">
        <f t="shared" si="5"/>
        <v>61.2</v>
      </c>
      <c r="T47" s="146">
        <f t="shared" si="5"/>
        <v>64.8</v>
      </c>
      <c r="U47" s="146">
        <f t="shared" si="5"/>
        <v>68.400000000000006</v>
      </c>
      <c r="V47" s="146">
        <f t="shared" si="5"/>
        <v>72</v>
      </c>
      <c r="W47" s="146">
        <f t="shared" si="5"/>
        <v>86.4</v>
      </c>
      <c r="X47" s="146">
        <f t="shared" si="5"/>
        <v>100.8</v>
      </c>
      <c r="Y47" s="146">
        <f t="shared" si="5"/>
        <v>115.2</v>
      </c>
      <c r="Z47" s="146">
        <f t="shared" si="5"/>
        <v>129.6</v>
      </c>
      <c r="AA47" s="146">
        <f t="shared" si="5"/>
        <v>144</v>
      </c>
      <c r="AB47" s="20" t="s">
        <v>96</v>
      </c>
    </row>
    <row r="48" spans="1:28" ht="15.75" thickBot="1">
      <c r="A48" s="141"/>
      <c r="B48" s="12"/>
      <c r="C48" s="12"/>
      <c r="D48" s="12"/>
      <c r="E48" s="12"/>
      <c r="F48" s="12"/>
      <c r="G48" s="12"/>
      <c r="H48" s="12"/>
      <c r="I48" s="12"/>
      <c r="J48" s="141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20"/>
    </row>
    <row r="49" spans="1:28" ht="15.75" thickBot="1">
      <c r="A49" s="139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7"/>
    </row>
  </sheetData>
  <mergeCells count="9">
    <mergeCell ref="A10:A28"/>
    <mergeCell ref="B11:I11"/>
    <mergeCell ref="J10:J28"/>
    <mergeCell ref="K11:R11"/>
    <mergeCell ref="A30:A48"/>
    <mergeCell ref="J30:J48"/>
    <mergeCell ref="B31:I31"/>
    <mergeCell ref="K31:R31"/>
    <mergeCell ref="A1:AB1"/>
  </mergeCells>
  <conditionalFormatting sqref="C13:H27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L13:AA27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C33:H47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L33:AA47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L33:AA47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Z26"/>
  <sheetViews>
    <sheetView workbookViewId="0">
      <selection activeCell="G7" sqref="G7"/>
    </sheetView>
  </sheetViews>
  <sheetFormatPr defaultRowHeight="15"/>
  <sheetData>
    <row r="1" spans="1:26">
      <c r="A1" s="150" t="s">
        <v>103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2"/>
    </row>
    <row r="2" spans="1:26" ht="15.75" thickBot="1">
      <c r="A2" s="153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5"/>
    </row>
    <row r="3" spans="1:26">
      <c r="B3" t="s">
        <v>97</v>
      </c>
      <c r="M3" t="s">
        <v>105</v>
      </c>
    </row>
    <row r="4" spans="1:26">
      <c r="B4" t="s">
        <v>98</v>
      </c>
    </row>
    <row r="5" spans="1:26">
      <c r="B5" t="s">
        <v>99</v>
      </c>
    </row>
    <row r="6" spans="1:26" ht="35.25" customHeight="1">
      <c r="B6" s="135" t="s">
        <v>100</v>
      </c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</row>
    <row r="7" spans="1:26">
      <c r="B7" t="s">
        <v>101</v>
      </c>
      <c r="I7" s="147" t="s">
        <v>104</v>
      </c>
    </row>
    <row r="8" spans="1:26">
      <c r="B8" t="s">
        <v>102</v>
      </c>
    </row>
    <row r="10" spans="1:26">
      <c r="B10" t="s">
        <v>106</v>
      </c>
      <c r="E10" t="s">
        <v>107</v>
      </c>
      <c r="F10">
        <f>0.2/60</f>
        <v>3.3333333333333335E-3</v>
      </c>
    </row>
    <row r="12" spans="1:26">
      <c r="A12" t="s">
        <v>110</v>
      </c>
      <c r="B12" s="148" t="s">
        <v>108</v>
      </c>
      <c r="C12" s="73">
        <v>0.01</v>
      </c>
      <c r="D12" s="73">
        <v>0.02</v>
      </c>
      <c r="E12" s="73">
        <v>0.03</v>
      </c>
      <c r="F12" s="73">
        <v>0.04</v>
      </c>
    </row>
    <row r="13" spans="1:26">
      <c r="A13" s="149" t="s">
        <v>109</v>
      </c>
      <c r="B13" s="149"/>
      <c r="C13" s="73">
        <f>C12*60/0.2</f>
        <v>2.9999999999999996</v>
      </c>
      <c r="D13" s="73">
        <f>D12*60/0.2</f>
        <v>5.9999999999999991</v>
      </c>
      <c r="E13" s="73">
        <f>E12*60/0.2</f>
        <v>8.9999999999999982</v>
      </c>
      <c r="F13" s="73">
        <f>F12*60/0.2</f>
        <v>11.999999999999998</v>
      </c>
      <c r="G13" t="s">
        <v>1</v>
      </c>
    </row>
    <row r="14" spans="1:26">
      <c r="B14" s="148"/>
    </row>
    <row r="15" spans="1:26">
      <c r="B15" s="148"/>
    </row>
    <row r="16" spans="1:26">
      <c r="B16" s="148"/>
    </row>
    <row r="17" spans="2:2">
      <c r="B17" s="148"/>
    </row>
    <row r="18" spans="2:2">
      <c r="B18" s="148"/>
    </row>
    <row r="19" spans="2:2">
      <c r="B19" s="148"/>
    </row>
    <row r="20" spans="2:2">
      <c r="B20" s="148"/>
    </row>
    <row r="21" spans="2:2">
      <c r="B21" s="148"/>
    </row>
    <row r="22" spans="2:2">
      <c r="B22" s="148"/>
    </row>
    <row r="23" spans="2:2">
      <c r="B23" s="148"/>
    </row>
    <row r="24" spans="2:2">
      <c r="B24" s="148"/>
    </row>
    <row r="25" spans="2:2">
      <c r="B25" s="148"/>
    </row>
    <row r="26" spans="2:2">
      <c r="B26" s="148"/>
    </row>
  </sheetData>
  <mergeCells count="3">
    <mergeCell ref="A1:Z2"/>
    <mergeCell ref="A13:B13"/>
    <mergeCell ref="B6:P6"/>
  </mergeCells>
  <conditionalFormatting sqref="C13:F13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25" right="0.25" top="0.75" bottom="0.75" header="0.3" footer="0.3"/>
  <pageSetup paperSize="9" scale="5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21"/>
  <sheetViews>
    <sheetView tabSelected="1" view="pageBreakPreview" zoomScale="145" zoomScaleSheetLayoutView="145" workbookViewId="0">
      <selection activeCell="D7" sqref="D7"/>
    </sheetView>
  </sheetViews>
  <sheetFormatPr defaultRowHeight="15"/>
  <cols>
    <col min="2" max="2" width="23" bestFit="1" customWidth="1"/>
  </cols>
  <sheetData>
    <row r="1" spans="1:13" ht="24" thickBot="1">
      <c r="A1" s="156" t="s">
        <v>73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8"/>
    </row>
    <row r="2" spans="1:13">
      <c r="A2" s="132" t="s">
        <v>71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</row>
    <row r="3" spans="1:13">
      <c r="B3" s="133" t="s">
        <v>72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</row>
    <row r="4" spans="1:13">
      <c r="C4" s="159">
        <v>0.1</v>
      </c>
      <c r="D4" s="159">
        <v>0.2</v>
      </c>
      <c r="E4" s="159">
        <v>0.3</v>
      </c>
      <c r="F4" s="159">
        <v>0.4</v>
      </c>
      <c r="G4" s="159">
        <v>0.5</v>
      </c>
      <c r="H4" s="159">
        <v>0.6</v>
      </c>
      <c r="I4" s="159">
        <v>0.7</v>
      </c>
      <c r="J4" s="159">
        <v>0.8</v>
      </c>
      <c r="K4" s="159">
        <v>0.9</v>
      </c>
      <c r="L4" s="159">
        <v>1</v>
      </c>
    </row>
    <row r="5" spans="1:13">
      <c r="B5" s="159">
        <v>50</v>
      </c>
      <c r="C5" s="71">
        <f>$B5*C$4/2.5</f>
        <v>2</v>
      </c>
      <c r="D5" s="71">
        <f>$B5*D$4/2.5</f>
        <v>4</v>
      </c>
      <c r="E5" s="71">
        <f>$B5*E$4/2.5</f>
        <v>6</v>
      </c>
      <c r="F5" s="71">
        <f t="shared" ref="F5:L5" si="0">$B5*F$4/2.5</f>
        <v>8</v>
      </c>
      <c r="G5" s="71">
        <f t="shared" si="0"/>
        <v>10</v>
      </c>
      <c r="H5" s="71">
        <f t="shared" si="0"/>
        <v>12</v>
      </c>
      <c r="I5" s="71">
        <f t="shared" si="0"/>
        <v>14</v>
      </c>
      <c r="J5" s="71">
        <f t="shared" si="0"/>
        <v>16</v>
      </c>
      <c r="K5" s="71">
        <f t="shared" si="0"/>
        <v>18</v>
      </c>
      <c r="L5" s="71">
        <f t="shared" si="0"/>
        <v>20</v>
      </c>
    </row>
    <row r="6" spans="1:13">
      <c r="B6" s="159">
        <v>55</v>
      </c>
      <c r="C6" s="71">
        <f t="shared" ref="C6:L19" si="1">$B6*C$4/2.5</f>
        <v>2.2000000000000002</v>
      </c>
      <c r="D6" s="71">
        <f t="shared" si="1"/>
        <v>4.4000000000000004</v>
      </c>
      <c r="E6" s="71">
        <f t="shared" si="1"/>
        <v>6.6</v>
      </c>
      <c r="F6" s="71">
        <f t="shared" si="1"/>
        <v>8.8000000000000007</v>
      </c>
      <c r="G6" s="71">
        <f t="shared" si="1"/>
        <v>11</v>
      </c>
      <c r="H6" s="71">
        <f t="shared" si="1"/>
        <v>13.2</v>
      </c>
      <c r="I6" s="71">
        <f t="shared" si="1"/>
        <v>15.4</v>
      </c>
      <c r="J6" s="71">
        <f t="shared" si="1"/>
        <v>17.600000000000001</v>
      </c>
      <c r="K6" s="71">
        <f t="shared" si="1"/>
        <v>19.8</v>
      </c>
      <c r="L6" s="71">
        <f t="shared" si="1"/>
        <v>22</v>
      </c>
    </row>
    <row r="7" spans="1:13">
      <c r="B7" s="159">
        <v>60</v>
      </c>
      <c r="C7" s="71">
        <f t="shared" si="1"/>
        <v>2.4</v>
      </c>
      <c r="D7" s="71">
        <f t="shared" si="1"/>
        <v>4.8</v>
      </c>
      <c r="E7" s="71">
        <f t="shared" si="1"/>
        <v>7.2</v>
      </c>
      <c r="F7" s="71">
        <f t="shared" si="1"/>
        <v>9.6</v>
      </c>
      <c r="G7" s="71">
        <f t="shared" si="1"/>
        <v>12</v>
      </c>
      <c r="H7" s="71">
        <f t="shared" si="1"/>
        <v>14.4</v>
      </c>
      <c r="I7" s="71">
        <f t="shared" si="1"/>
        <v>16.8</v>
      </c>
      <c r="J7" s="71">
        <f t="shared" si="1"/>
        <v>19.2</v>
      </c>
      <c r="K7" s="71">
        <f t="shared" si="1"/>
        <v>21.6</v>
      </c>
      <c r="L7" s="71">
        <f t="shared" si="1"/>
        <v>24</v>
      </c>
    </row>
    <row r="8" spans="1:13">
      <c r="B8" s="159">
        <v>65</v>
      </c>
      <c r="C8" s="71">
        <f t="shared" si="1"/>
        <v>2.6</v>
      </c>
      <c r="D8" s="71">
        <f t="shared" si="1"/>
        <v>5.2</v>
      </c>
      <c r="E8" s="71">
        <f t="shared" si="1"/>
        <v>7.8</v>
      </c>
      <c r="F8" s="71">
        <f t="shared" si="1"/>
        <v>10.4</v>
      </c>
      <c r="G8" s="71">
        <f t="shared" si="1"/>
        <v>13</v>
      </c>
      <c r="H8" s="71">
        <f t="shared" si="1"/>
        <v>15.6</v>
      </c>
      <c r="I8" s="71">
        <f t="shared" si="1"/>
        <v>18.2</v>
      </c>
      <c r="J8" s="71">
        <f t="shared" si="1"/>
        <v>20.8</v>
      </c>
      <c r="K8" s="71">
        <f t="shared" si="1"/>
        <v>23.4</v>
      </c>
      <c r="L8" s="71">
        <f t="shared" si="1"/>
        <v>26</v>
      </c>
    </row>
    <row r="9" spans="1:13">
      <c r="B9" s="159">
        <v>70</v>
      </c>
      <c r="C9" s="71">
        <f t="shared" si="1"/>
        <v>2.8</v>
      </c>
      <c r="D9" s="71">
        <f t="shared" si="1"/>
        <v>5.6</v>
      </c>
      <c r="E9" s="71">
        <f t="shared" si="1"/>
        <v>8.4</v>
      </c>
      <c r="F9" s="71">
        <f t="shared" si="1"/>
        <v>11.2</v>
      </c>
      <c r="G9" s="71">
        <f t="shared" si="1"/>
        <v>14</v>
      </c>
      <c r="H9" s="71">
        <f t="shared" si="1"/>
        <v>16.8</v>
      </c>
      <c r="I9" s="71">
        <f t="shared" si="1"/>
        <v>19.600000000000001</v>
      </c>
      <c r="J9" s="71">
        <f t="shared" si="1"/>
        <v>22.4</v>
      </c>
      <c r="K9" s="71">
        <f t="shared" si="1"/>
        <v>25.2</v>
      </c>
      <c r="L9" s="71">
        <f t="shared" si="1"/>
        <v>28</v>
      </c>
    </row>
    <row r="10" spans="1:13">
      <c r="B10" s="159">
        <v>75</v>
      </c>
      <c r="C10" s="71">
        <f t="shared" si="1"/>
        <v>3</v>
      </c>
      <c r="D10" s="71">
        <f t="shared" si="1"/>
        <v>6</v>
      </c>
      <c r="E10" s="71">
        <f t="shared" si="1"/>
        <v>9</v>
      </c>
      <c r="F10" s="71">
        <f t="shared" si="1"/>
        <v>12</v>
      </c>
      <c r="G10" s="71">
        <f t="shared" si="1"/>
        <v>15</v>
      </c>
      <c r="H10" s="71">
        <f t="shared" si="1"/>
        <v>18</v>
      </c>
      <c r="I10" s="71">
        <f t="shared" si="1"/>
        <v>21</v>
      </c>
      <c r="J10" s="71">
        <f t="shared" si="1"/>
        <v>24</v>
      </c>
      <c r="K10" s="71">
        <f t="shared" si="1"/>
        <v>27</v>
      </c>
      <c r="L10" s="71">
        <f t="shared" si="1"/>
        <v>30</v>
      </c>
    </row>
    <row r="11" spans="1:13">
      <c r="B11" s="159">
        <v>80</v>
      </c>
      <c r="C11" s="71">
        <f t="shared" si="1"/>
        <v>3.2</v>
      </c>
      <c r="D11" s="71">
        <f t="shared" si="1"/>
        <v>6.4</v>
      </c>
      <c r="E11" s="71">
        <f t="shared" si="1"/>
        <v>9.6</v>
      </c>
      <c r="F11" s="71">
        <f t="shared" si="1"/>
        <v>12.8</v>
      </c>
      <c r="G11" s="71">
        <f t="shared" si="1"/>
        <v>16</v>
      </c>
      <c r="H11" s="71">
        <f t="shared" si="1"/>
        <v>19.2</v>
      </c>
      <c r="I11" s="71">
        <f t="shared" si="1"/>
        <v>22.4</v>
      </c>
      <c r="J11" s="71">
        <f t="shared" si="1"/>
        <v>25.6</v>
      </c>
      <c r="K11" s="71">
        <f t="shared" si="1"/>
        <v>28.8</v>
      </c>
      <c r="L11" s="71">
        <f t="shared" si="1"/>
        <v>32</v>
      </c>
    </row>
    <row r="12" spans="1:13">
      <c r="B12" s="159">
        <v>85</v>
      </c>
      <c r="C12" s="71">
        <f t="shared" si="1"/>
        <v>3.4</v>
      </c>
      <c r="D12" s="71">
        <f t="shared" si="1"/>
        <v>6.8</v>
      </c>
      <c r="E12" s="71">
        <f t="shared" si="1"/>
        <v>10.199999999999999</v>
      </c>
      <c r="F12" s="71">
        <f t="shared" si="1"/>
        <v>13.6</v>
      </c>
      <c r="G12" s="71">
        <f t="shared" si="1"/>
        <v>17</v>
      </c>
      <c r="H12" s="71">
        <f t="shared" si="1"/>
        <v>20.399999999999999</v>
      </c>
      <c r="I12" s="71">
        <f t="shared" si="1"/>
        <v>23.799999999999997</v>
      </c>
      <c r="J12" s="71">
        <f t="shared" si="1"/>
        <v>27.2</v>
      </c>
      <c r="K12" s="71">
        <f t="shared" si="1"/>
        <v>30.6</v>
      </c>
      <c r="L12" s="71">
        <f t="shared" si="1"/>
        <v>34</v>
      </c>
    </row>
    <row r="13" spans="1:13">
      <c r="B13" s="159">
        <v>90</v>
      </c>
      <c r="C13" s="71">
        <f t="shared" si="1"/>
        <v>3.6</v>
      </c>
      <c r="D13" s="71">
        <f t="shared" si="1"/>
        <v>7.2</v>
      </c>
      <c r="E13" s="71">
        <f t="shared" si="1"/>
        <v>10.8</v>
      </c>
      <c r="F13" s="71">
        <f t="shared" si="1"/>
        <v>14.4</v>
      </c>
      <c r="G13" s="71">
        <f t="shared" si="1"/>
        <v>18</v>
      </c>
      <c r="H13" s="71">
        <f t="shared" si="1"/>
        <v>21.6</v>
      </c>
      <c r="I13" s="71">
        <f t="shared" si="1"/>
        <v>25.199999999999996</v>
      </c>
      <c r="J13" s="71">
        <f t="shared" si="1"/>
        <v>28.8</v>
      </c>
      <c r="K13" s="71">
        <f t="shared" si="1"/>
        <v>32.4</v>
      </c>
      <c r="L13" s="71">
        <f t="shared" si="1"/>
        <v>36</v>
      </c>
    </row>
    <row r="14" spans="1:13">
      <c r="B14" s="159">
        <v>95</v>
      </c>
      <c r="C14" s="71">
        <f t="shared" si="1"/>
        <v>3.8</v>
      </c>
      <c r="D14" s="71">
        <f t="shared" si="1"/>
        <v>7.6</v>
      </c>
      <c r="E14" s="71">
        <f t="shared" si="1"/>
        <v>11.4</v>
      </c>
      <c r="F14" s="71">
        <f t="shared" si="1"/>
        <v>15.2</v>
      </c>
      <c r="G14" s="71">
        <f t="shared" si="1"/>
        <v>19</v>
      </c>
      <c r="H14" s="71">
        <f t="shared" si="1"/>
        <v>22.8</v>
      </c>
      <c r="I14" s="71">
        <f t="shared" si="1"/>
        <v>26.6</v>
      </c>
      <c r="J14" s="71">
        <f t="shared" si="1"/>
        <v>30.4</v>
      </c>
      <c r="K14" s="71">
        <f t="shared" si="1"/>
        <v>34.200000000000003</v>
      </c>
      <c r="L14" s="71">
        <f t="shared" si="1"/>
        <v>38</v>
      </c>
    </row>
    <row r="15" spans="1:13">
      <c r="B15" s="159">
        <v>100</v>
      </c>
      <c r="C15" s="71">
        <f t="shared" si="1"/>
        <v>4</v>
      </c>
      <c r="D15" s="71">
        <f t="shared" si="1"/>
        <v>8</v>
      </c>
      <c r="E15" s="71">
        <f t="shared" si="1"/>
        <v>12</v>
      </c>
      <c r="F15" s="71">
        <f t="shared" si="1"/>
        <v>16</v>
      </c>
      <c r="G15" s="71">
        <f t="shared" si="1"/>
        <v>20</v>
      </c>
      <c r="H15" s="71">
        <f t="shared" si="1"/>
        <v>24</v>
      </c>
      <c r="I15" s="71">
        <f t="shared" si="1"/>
        <v>28</v>
      </c>
      <c r="J15" s="71">
        <f t="shared" si="1"/>
        <v>32</v>
      </c>
      <c r="K15" s="71">
        <f t="shared" si="1"/>
        <v>36</v>
      </c>
      <c r="L15" s="71">
        <f t="shared" si="1"/>
        <v>40</v>
      </c>
    </row>
    <row r="16" spans="1:13">
      <c r="B16" s="159">
        <v>105</v>
      </c>
      <c r="C16" s="71">
        <f t="shared" si="1"/>
        <v>4.2</v>
      </c>
      <c r="D16" s="71">
        <f t="shared" si="1"/>
        <v>8.4</v>
      </c>
      <c r="E16" s="71">
        <f t="shared" si="1"/>
        <v>12.6</v>
      </c>
      <c r="F16" s="71">
        <f t="shared" si="1"/>
        <v>16.8</v>
      </c>
      <c r="G16" s="71">
        <f t="shared" si="1"/>
        <v>21</v>
      </c>
      <c r="H16" s="71">
        <f t="shared" si="1"/>
        <v>25.2</v>
      </c>
      <c r="I16" s="71">
        <f t="shared" si="1"/>
        <v>29.4</v>
      </c>
      <c r="J16" s="71">
        <f t="shared" si="1"/>
        <v>33.6</v>
      </c>
      <c r="K16" s="71">
        <f t="shared" si="1"/>
        <v>37.799999999999997</v>
      </c>
      <c r="L16" s="71">
        <f t="shared" si="1"/>
        <v>42</v>
      </c>
    </row>
    <row r="17" spans="1:12">
      <c r="B17" s="159">
        <v>110</v>
      </c>
      <c r="C17" s="71">
        <f t="shared" si="1"/>
        <v>4.4000000000000004</v>
      </c>
      <c r="D17" s="71">
        <f t="shared" si="1"/>
        <v>8.8000000000000007</v>
      </c>
      <c r="E17" s="71">
        <f t="shared" si="1"/>
        <v>13.2</v>
      </c>
      <c r="F17" s="71">
        <f t="shared" si="1"/>
        <v>17.600000000000001</v>
      </c>
      <c r="G17" s="71">
        <f t="shared" si="1"/>
        <v>22</v>
      </c>
      <c r="H17" s="71">
        <f t="shared" si="1"/>
        <v>26.4</v>
      </c>
      <c r="I17" s="71">
        <f t="shared" si="1"/>
        <v>30.8</v>
      </c>
      <c r="J17" s="71">
        <f t="shared" si="1"/>
        <v>35.200000000000003</v>
      </c>
      <c r="K17" s="71">
        <f t="shared" si="1"/>
        <v>39.6</v>
      </c>
      <c r="L17" s="71">
        <f t="shared" si="1"/>
        <v>44</v>
      </c>
    </row>
    <row r="18" spans="1:12">
      <c r="B18" s="159">
        <v>115</v>
      </c>
      <c r="C18" s="71">
        <f t="shared" si="1"/>
        <v>4.5999999999999996</v>
      </c>
      <c r="D18" s="71">
        <f t="shared" si="1"/>
        <v>9.1999999999999993</v>
      </c>
      <c r="E18" s="71">
        <f t="shared" si="1"/>
        <v>13.8</v>
      </c>
      <c r="F18" s="71">
        <f t="shared" si="1"/>
        <v>18.399999999999999</v>
      </c>
      <c r="G18" s="71">
        <f t="shared" si="1"/>
        <v>23</v>
      </c>
      <c r="H18" s="71">
        <f t="shared" si="1"/>
        <v>27.6</v>
      </c>
      <c r="I18" s="71">
        <f t="shared" si="1"/>
        <v>32.200000000000003</v>
      </c>
      <c r="J18" s="71">
        <f t="shared" si="1"/>
        <v>36.799999999999997</v>
      </c>
      <c r="K18" s="71">
        <f t="shared" si="1"/>
        <v>41.4</v>
      </c>
      <c r="L18" s="71">
        <f t="shared" si="1"/>
        <v>46</v>
      </c>
    </row>
    <row r="19" spans="1:12">
      <c r="B19" s="159">
        <v>120</v>
      </c>
      <c r="C19" s="71">
        <f t="shared" si="1"/>
        <v>4.8</v>
      </c>
      <c r="D19" s="71">
        <f t="shared" si="1"/>
        <v>9.6</v>
      </c>
      <c r="E19" s="71">
        <f t="shared" si="1"/>
        <v>14.4</v>
      </c>
      <c r="F19" s="71">
        <f t="shared" si="1"/>
        <v>19.2</v>
      </c>
      <c r="G19" s="71">
        <f t="shared" si="1"/>
        <v>24</v>
      </c>
      <c r="H19" s="71">
        <f t="shared" si="1"/>
        <v>28.8</v>
      </c>
      <c r="I19" s="71">
        <f t="shared" si="1"/>
        <v>33.6</v>
      </c>
      <c r="J19" s="71">
        <f t="shared" si="1"/>
        <v>38.4</v>
      </c>
      <c r="K19" s="71">
        <f t="shared" si="1"/>
        <v>43.2</v>
      </c>
      <c r="L19" s="71">
        <f t="shared" si="1"/>
        <v>48</v>
      </c>
    </row>
    <row r="20" spans="1:12">
      <c r="B20" s="160"/>
    </row>
    <row r="21" spans="1:12">
      <c r="A21" s="70"/>
      <c r="B21" s="134" t="s">
        <v>70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</row>
  </sheetData>
  <mergeCells count="4">
    <mergeCell ref="A2:M2"/>
    <mergeCell ref="B3:L3"/>
    <mergeCell ref="A1:M1"/>
    <mergeCell ref="B21:L21"/>
  </mergeCells>
  <conditionalFormatting sqref="C5:L19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51181102362204722" right="0.51181102362204722" top="0.78740157480314965" bottom="0.78740157480314965" header="0.31496062992125984" footer="0.31496062992125984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9</vt:i4>
      </vt:variant>
    </vt:vector>
  </HeadingPairs>
  <TitlesOfParts>
    <vt:vector size="21" baseType="lpstr">
      <vt:lpstr>Noradrenalina</vt:lpstr>
      <vt:lpstr>Nipride</vt:lpstr>
      <vt:lpstr>Midazolam</vt:lpstr>
      <vt:lpstr>Midazolam - PURO</vt:lpstr>
      <vt:lpstr>Fentanil</vt:lpstr>
      <vt:lpstr>DOBUTAMINA</vt:lpstr>
      <vt:lpstr>PRECEDEX</vt:lpstr>
      <vt:lpstr>PROPOFOL</vt:lpstr>
      <vt:lpstr>ESMOLOL</vt:lpstr>
      <vt:lpstr>VASOPRESSINA</vt:lpstr>
      <vt:lpstr>ÁTRACÚRIO</vt:lpstr>
      <vt:lpstr>ROCURÔNIO</vt:lpstr>
      <vt:lpstr>DOBUTAMINA!Area_de_impressao</vt:lpstr>
      <vt:lpstr>Fentanil!Area_de_impressao</vt:lpstr>
      <vt:lpstr>Midazolam!Area_de_impressao</vt:lpstr>
      <vt:lpstr>'Midazolam - PURO'!Area_de_impressao</vt:lpstr>
      <vt:lpstr>Nipride!Area_de_impressao</vt:lpstr>
      <vt:lpstr>Noradrenalina!Area_de_impressao</vt:lpstr>
      <vt:lpstr>PRECEDEX!Area_de_impressao</vt:lpstr>
      <vt:lpstr>PROPOFOL!Area_de_impressao</vt:lpstr>
      <vt:lpstr>VASOPRESSINA!Area_de_impressao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EMERGENCIA</dc:creator>
  <cp:lastModifiedBy>EMERGENCIA</cp:lastModifiedBy>
  <cp:lastPrinted>2024-03-29T14:56:44Z</cp:lastPrinted>
  <dcterms:created xsi:type="dcterms:W3CDTF">2024-01-18T18:51:24Z</dcterms:created>
  <dcterms:modified xsi:type="dcterms:W3CDTF">2024-03-29T15:24:23Z</dcterms:modified>
</cp:coreProperties>
</file>