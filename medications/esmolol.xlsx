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smolo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<sst xmlns="http://schemas.openxmlformats.org/spreadsheetml/2006/main" count="28" uniqueCount="28">
  <si>
    <t xml:space="preserve">CALCULADORA DE INFUSÃO DE ESMOLOL — UTI</t>
  </si>
  <si>
    <t xml:space="preserve">Fórmula: Taxa de infusão (mL/h) = [Dose (mcg/kg/min) × Peso (kg) × 60] / Concentração da solução (mcg/mL)</t>
  </si>
  <si>
    <t xml:space="preserve">1. DILUIÇÃO DA AMPOLA</t>
  </si>
  <si>
    <t xml:space="preserve">Apresentação da ampola (mg/mL)</t>
  </si>
  <si>
    <t xml:space="preserve">Conteúdo total da ampola (mg)</t>
  </si>
  <si>
    <t xml:space="preserve">Volume da ampola (mL)</t>
  </si>
  <si>
    <t xml:space="preserve">Volume de diluente — SG 5% (mL)</t>
  </si>
  <si>
    <t xml:space="preserve">Volume total da solução diluída (mL)</t>
  </si>
  <si>
    <t xml:space="preserve">Concentração final (mg/mL)</t>
  </si>
  <si>
    <t xml:space="preserve">Concentração final (mcg/mL)</t>
  </si>
  <si>
    <t xml:space="preserve">2. DOSES DE REFERÊNCIA (mcg/kg/min)</t>
  </si>
  <si>
    <t xml:space="preserve">Dose inicial</t>
  </si>
  <si>
    <t xml:space="preserve">Dose máxima</t>
  </si>
  <si>
    <t xml:space="preserve">3. TAXA DE INFUSÃO POR PACIENTE</t>
  </si>
  <si>
    <t xml:space="preserve">Paciente</t>
  </si>
  <si>
    <t xml:space="preserve">Peso (kg)</t>
  </si>
  <si>
    <t xml:space="preserve">Dose (mcg/kg/min)</t>
  </si>
  <si>
    <t xml:space="preserve">Taxa de infusão (mL/h)</t>
  </si>
  <si>
    <t xml:space="preserve">Taxa de infusão (mcg/min)</t>
  </si>
  <si>
    <t xml:space="preserve">Paciente 1 — Dose inicial</t>
  </si>
  <si>
    <t xml:space="preserve">Paciente 1 — Dose máxima</t>
  </si>
  <si>
    <t xml:space="preserve">Paciente 2 — Dose inicial</t>
  </si>
  <si>
    <t xml:space="preserve">Paciente 2 — Dose máxima</t>
  </si>
  <si>
    <t xml:space="preserve">4. CALCULADORA LIVRE (qualquer peso e dose)</t>
  </si>
  <si>
    <t xml:space="preserve">Peso do paciente (kg)</t>
  </si>
  <si>
    <t xml:space="preserve">Dose desejada (mcg/kg/min)</t>
  </si>
  <si>
    <t xml:space="preserve">Taxa de infusão resultante (mL/h)</t>
  </si>
  <si>
    <t xml:space="preserve">Notas: 1 ampola (2500 mg/10 mL) + 240 mL SG 5% = 250 mL → 10 mg/mL (10.000 mcg/mL). Administrar em bomba de infusão contínua, preferencialmente em acesso venoso dedicado.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</si>
</sst>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.0"/>
    <numFmt numFmtId="167" formatCode="0.00"/>
    <numFmt numFmtId="168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i val="true"/>
      <sz val="9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D9E1F2"/>
      </patternFill>
    </fill>
    <fill>
      <patternFill patternType="solid">
        <fgColor rgb="FFD9E1F2"/>
        <bgColor rgb="FFE2EFD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/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5" min="2" style="0" width="16"/>
    <col collapsed="false" customWidth="true" hidden="false" outlineLevel="0" max="6" min="6" style="0" width="4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  <c r="F4" s="3"/>
    </row>
    <row r="5" customFormat="false" ht="15" hidden="false" customHeight="false" outlineLevel="0" collapsed="false">
      <c r="A5" s="4" t="s">
        <v>3</v>
      </c>
      <c r="B5" s="5" t="n">
        <v>250</v>
      </c>
    </row>
    <row r="6" customFormat="false" ht="15" hidden="false" customHeight="false" outlineLevel="0" collapsed="false">
      <c r="A6" s="4" t="s">
        <v>4</v>
      </c>
      <c r="B6" s="5" t="n">
        <v>2500</v>
      </c>
    </row>
    <row r="7" customFormat="false" ht="15" hidden="false" customHeight="false" outlineLevel="0" collapsed="false">
      <c r="A7" s="4" t="s">
        <v>5</v>
      </c>
      <c r="B7" s="6" t="n">
        <f aca="false">B6/B5</f>
        <v>10</v>
      </c>
    </row>
    <row r="8" customFormat="false" ht="15" hidden="false" customHeight="false" outlineLevel="0" collapsed="false">
      <c r="A8" s="4" t="s">
        <v>6</v>
      </c>
      <c r="B8" s="5" t="n">
        <v>240</v>
      </c>
    </row>
    <row r="9" customFormat="false" ht="15" hidden="false" customHeight="false" outlineLevel="0" collapsed="false">
      <c r="A9" s="4" t="s">
        <v>7</v>
      </c>
      <c r="B9" s="6" t="n">
        <f aca="false">B7+B8</f>
        <v>250</v>
      </c>
    </row>
    <row r="10" customFormat="false" ht="15" hidden="false" customHeight="false" outlineLevel="0" collapsed="false">
      <c r="A10" s="4" t="s">
        <v>8</v>
      </c>
      <c r="B10" s="7" t="n">
        <f aca="false">B6/B9</f>
        <v>10</v>
      </c>
    </row>
    <row r="11" customFormat="false" ht="15" hidden="false" customHeight="false" outlineLevel="0" collapsed="false">
      <c r="A11" s="4" t="s">
        <v>9</v>
      </c>
      <c r="B11" s="8" t="n">
        <f aca="false">B10*1000</f>
        <v>10000</v>
      </c>
    </row>
    <row r="13" customFormat="false" ht="15" hidden="false" customHeight="false" outlineLevel="0" collapsed="false">
      <c r="A13" s="3" t="s">
        <v>10</v>
      </c>
      <c r="B13" s="3"/>
      <c r="C13" s="3"/>
      <c r="D13" s="3"/>
      <c r="E13" s="3"/>
      <c r="F13" s="3"/>
    </row>
    <row r="14" customFormat="false" ht="15" hidden="false" customHeight="false" outlineLevel="0" collapsed="false">
      <c r="A14" s="4" t="s">
        <v>11</v>
      </c>
      <c r="B14" s="5" t="n">
        <v>10</v>
      </c>
    </row>
    <row r="15" customFormat="false" ht="15" hidden="false" customHeight="false" outlineLevel="0" collapsed="false">
      <c r="A15" s="4" t="s">
        <v>12</v>
      </c>
      <c r="B15" s="5" t="n">
        <v>300</v>
      </c>
    </row>
    <row r="17" customFormat="false" ht="15" hidden="false" customHeight="false" outlineLevel="0" collapsed="false">
      <c r="A17" s="3" t="s">
        <v>13</v>
      </c>
      <c r="B17" s="3"/>
      <c r="C17" s="3"/>
      <c r="D17" s="3"/>
      <c r="E17" s="3"/>
      <c r="F17" s="3"/>
    </row>
    <row r="18" customFormat="false" ht="15" hidden="false" customHeight="false" outlineLevel="0" collapsed="false">
      <c r="A18" s="9" t="s">
        <v>14</v>
      </c>
      <c r="B18" s="9" t="s">
        <v>15</v>
      </c>
      <c r="C18" s="9" t="s">
        <v>16</v>
      </c>
      <c r="D18" s="9" t="s">
        <v>17</v>
      </c>
      <c r="E18" s="9" t="s">
        <v>18</v>
      </c>
    </row>
    <row r="19" customFormat="false" ht="15" hidden="false" customHeight="false" outlineLevel="0" collapsed="false">
      <c r="A19" s="10" t="s">
        <v>19</v>
      </c>
      <c r="B19" s="5" t="n">
        <v>50</v>
      </c>
      <c r="C19" s="11" t="n">
        <f aca="false">B14</f>
        <v>10</v>
      </c>
      <c r="D19" s="12" t="n">
        <f aca="false">(C19*B19*60)/B11</f>
        <v>3</v>
      </c>
      <c r="E19" s="13" t="n">
        <f aca="false">C19*B19</f>
        <v>500</v>
      </c>
    </row>
    <row r="20" customFormat="false" ht="15" hidden="false" customHeight="false" outlineLevel="0" collapsed="false">
      <c r="A20" s="10" t="s">
        <v>20</v>
      </c>
      <c r="B20" s="5" t="n">
        <v>50</v>
      </c>
      <c r="C20" s="11" t="n">
        <f aca="false">B15</f>
        <v>300</v>
      </c>
      <c r="D20" s="12" t="n">
        <f aca="false">(C20*B20*60)/B11</f>
        <v>90</v>
      </c>
      <c r="E20" s="13" t="n">
        <f aca="false">C20*B20</f>
        <v>15000</v>
      </c>
    </row>
    <row r="21" customFormat="false" ht="15" hidden="false" customHeight="false" outlineLevel="0" collapsed="false">
      <c r="A21" s="10" t="s">
        <v>21</v>
      </c>
      <c r="B21" s="5" t="n">
        <v>80</v>
      </c>
      <c r="C21" s="11" t="n">
        <f aca="false">B14</f>
        <v>10</v>
      </c>
      <c r="D21" s="12" t="n">
        <f aca="false">(C21*B21*60)/B11</f>
        <v>4.8</v>
      </c>
      <c r="E21" s="13" t="n">
        <f aca="false">C21*B21</f>
        <v>800</v>
      </c>
    </row>
    <row r="22" customFormat="false" ht="15" hidden="false" customHeight="false" outlineLevel="0" collapsed="false">
      <c r="A22" s="10" t="s">
        <v>22</v>
      </c>
      <c r="B22" s="5" t="n">
        <v>80</v>
      </c>
      <c r="C22" s="11" t="n">
        <f aca="false">B15</f>
        <v>300</v>
      </c>
      <c r="D22" s="12" t="n">
        <f aca="false">(C22*B22*60)/B11</f>
        <v>144</v>
      </c>
      <c r="E22" s="13" t="n">
        <f aca="false">C22*B22</f>
        <v>24000</v>
      </c>
    </row>
    <row r="24" customFormat="false" ht="15" hidden="false" customHeight="false" outlineLevel="0" collapsed="false">
      <c r="A24" s="3" t="s">
        <v>23</v>
      </c>
      <c r="B24" s="3"/>
      <c r="C24" s="3"/>
      <c r="D24" s="3"/>
      <c r="E24" s="3"/>
      <c r="F24" s="3"/>
    </row>
    <row r="25" customFormat="false" ht="15" hidden="false" customHeight="false" outlineLevel="0" collapsed="false">
      <c r="A25" s="4" t="s">
        <v>24</v>
      </c>
      <c r="B25" s="5" t="n">
        <v>70</v>
      </c>
    </row>
    <row r="26" customFormat="false" ht="15" hidden="false" customHeight="false" outlineLevel="0" collapsed="false">
      <c r="A26" s="4" t="s">
        <v>25</v>
      </c>
      <c r="B26" s="5" t="n">
        <v>50</v>
      </c>
    </row>
    <row r="27" customFormat="false" ht="15" hidden="false" customHeight="false" outlineLevel="0" collapsed="false">
      <c r="A27" s="14" t="s">
        <v>26</v>
      </c>
      <c r="B27" s="12" t="n">
        <f aca="false">(B26*B25*60)/B11</f>
        <v>21</v>
      </c>
    </row>
    <row r="29" customFormat="false" ht="27.75" hidden="false" customHeight="true" outlineLevel="0" collapsed="false">
      <c r="A29" s="15" t="s">
        <v>27</v>
      </c>
      <c r="B29" s="15"/>
      <c r="C29" s="15"/>
      <c r="D29" s="15"/>
      <c r="E29" s="15"/>
      <c r="F29" s="15"/>
    </row>
  </sheetData>
  <mergeCells count="7">
    <mergeCell ref="A1:F1"/>
    <mergeCell ref="A2:F2"/>
    <mergeCell ref="A4:F4"/>
    <mergeCell ref="A13:F13"/>
    <mergeCell ref="A17:F17"/>
    <mergeCell ref="A24:F24"/>
    <mergeCell ref="A29:F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2026-06-25T20:00:44Z</dcterms:created>
  <dc:creator>openpyxl</dc:creator>
  <dc:description/>
  <dc:language>en-US</dc:language>
  <cp:lastModifiedBy/>
  <dcterms:modified xsi:type="dcterms:W3CDTF">2026-06-25T20:00:44Z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